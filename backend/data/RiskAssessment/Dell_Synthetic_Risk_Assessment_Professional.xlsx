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3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ad1656812248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aeae3e36f0254c24"/>
    <x:sheet xmlns:r="http://schemas.openxmlformats.org/officeDocument/2006/relationships" name="Document Control" sheetId="2" r:id="R7f634e480df44e67"/>
    <x:sheet xmlns:r="http://schemas.openxmlformats.org/officeDocument/2006/relationships" name="Assets" sheetId="3" r:id="Ra6eb2242b2c64ca6"/>
    <x:sheet xmlns:r="http://schemas.openxmlformats.org/officeDocument/2006/relationships" name="Governance" sheetId="4" r:id="Rd1f0198771c54476"/>
    <x:sheet xmlns:r="http://schemas.openxmlformats.org/officeDocument/2006/relationships" name="Risk Criteria" sheetId="5" r:id="Rb51a2f581c764f8a"/>
    <x:sheet xmlns:r="http://schemas.openxmlformats.org/officeDocument/2006/relationships" name="Risk Register" sheetId="6" r:id="R44bbe5504f2348d5"/>
    <x:sheet xmlns:r="http://schemas.openxmlformats.org/officeDocument/2006/relationships" name="Treatments" sheetId="7" r:id="R36d53c9fb60e402c"/>
    <x:sheet xmlns:r="http://schemas.openxmlformats.org/officeDocument/2006/relationships" name="Controls" sheetId="8" r:id="R3f8717d2e7aa4b65"/>
    <x:sheet xmlns:r="http://schemas.openxmlformats.org/officeDocument/2006/relationships" name="KRI Register" sheetId="9" r:id="Rea8158790438472d"/>
    <x:sheet xmlns:r="http://schemas.openxmlformats.org/officeDocument/2006/relationships" name="KRI Measurements" sheetId="10" r:id="R7e95a0c5586c4ca1"/>
    <x:sheet xmlns:r="http://schemas.openxmlformats.org/officeDocument/2006/relationships" name="Evidence" sheetId="11" r:id="R02739274a0794c45"/>
    <x:sheet xmlns:r="http://schemas.openxmlformats.org/officeDocument/2006/relationships" name="Dashboard" sheetId="12" r:id="R9f685123eeb54448"/>
    <x:sheet xmlns:r="http://schemas.openxmlformats.org/officeDocument/2006/relationships" name="Import Schema" sheetId="13" r:id="Rf701897b501148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$#,##0"/>
    <x:numFmt numFmtId="202" formatCode="0&quot;%&quot;"/>
    <x:numFmt numFmtId="203" formatCode="0.0"/>
  </x:numFmts>
  <x:fonts count="7">
    <x:font>
      <x:sz val="11"/>
      <x:name val="Carlito"/>
    </x:font>
    <x:font>
      <x:b/>
      <x:sz val="19"/>
      <x:color rgb="FFFFFFFF"/>
      <x:name val="Carlito"/>
    </x:font>
    <x:font>
      <x:i/>
      <x:sz val="10"/>
      <x:color rgb="FF1F2937"/>
      <x:name val="Carlito"/>
    </x:font>
    <x:font>
      <x:b/>
      <x:sz val="11"/>
      <x:color rgb="FF0B1F3A"/>
      <x:name val="Carlito"/>
    </x:font>
    <x:font>
      <x:sz val="11"/>
      <x:color rgb="FF1F2937"/>
      <x:name val="Carlito"/>
    </x:font>
    <x:font>
      <x:b/>
      <x:sz val="10"/>
      <x:color rgb="FFFFFFFF"/>
      <x:name val="Carlito"/>
    </x:font>
    <x:font>
      <x:sz val="9"/>
      <x:color rgb="FF1F293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DC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center" wrapText="1"/>
    </x:xf>
    <x:xf numFmtId="202" fontId="6" fillId="0" borderId="0" xfId="0" applyNumberFormat="1" applyFont="1" applyFill="1" applyBorder="1" applyAlignment="1">
      <x:alignment vertical="center" wrapText="1"/>
    </x:xf>
    <x:xf numFmtId="202" fontId="6" fillId="0" borderId="1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</x:cellXfs>
  <x:cellStyles count="1">
    <x:cellStyle name="Normal" xfId="0"/>
  </x:cellStyles>
  <x:dxfs count="22"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FEDD5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065F46"/>
      </x:font>
      <x:fill>
        <x:patternFill patternType="solid">
          <x:bgColor rgb="FFD1FAE5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  <x:dxf>
      <x:fill>
        <x:patternFill patternType="solid">
          <x:bgColor rgb="FF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f0f756529472b" /><Relationship Type="http://schemas.openxmlformats.org/officeDocument/2006/relationships/theme" Target="/xl/theme/theme1.xml" Id="R10318f65a4484311" /><Relationship Type="http://schemas.openxmlformats.org/officeDocument/2006/relationships/sharedStrings" Target="/xl/sharedStrings.xml" Id="Rbbba493a1cb24d13" /><Relationship Type="http://schemas.openxmlformats.org/officeDocument/2006/relationships/worksheet" Target="/xl/worksheets/sheet1.xml" Id="Raeae3e36f0254c24" /><Relationship Type="http://schemas.openxmlformats.org/officeDocument/2006/relationships/worksheet" Target="/xl/worksheets/sheet2.xml" Id="R7f634e480df44e67" /><Relationship Type="http://schemas.openxmlformats.org/officeDocument/2006/relationships/worksheet" Target="/xl/worksheets/sheet3.xml" Id="Ra6eb2242b2c64ca6" /><Relationship Type="http://schemas.openxmlformats.org/officeDocument/2006/relationships/worksheet" Target="/xl/worksheets/sheet4.xml" Id="Rd1f0198771c54476" /><Relationship Type="http://schemas.openxmlformats.org/officeDocument/2006/relationships/worksheet" Target="/xl/worksheets/sheet5.xml" Id="Rb51a2f581c764f8a" /><Relationship Type="http://schemas.openxmlformats.org/officeDocument/2006/relationships/worksheet" Target="/xl/worksheets/sheet6.xml" Id="R44bbe5504f2348d5" /><Relationship Type="http://schemas.openxmlformats.org/officeDocument/2006/relationships/worksheet" Target="/xl/worksheets/sheet7.xml" Id="R36d53c9fb60e402c" /><Relationship Type="http://schemas.openxmlformats.org/officeDocument/2006/relationships/worksheet" Target="/xl/worksheets/sheet8.xml" Id="R3f8717d2e7aa4b65" /><Relationship Type="http://schemas.openxmlformats.org/officeDocument/2006/relationships/worksheet" Target="/xl/worksheets/sheet9.xml" Id="Rea8158790438472d" /><Relationship Type="http://schemas.openxmlformats.org/officeDocument/2006/relationships/worksheet" Target="/xl/worksheets/sheet10.xml" Id="R7e95a0c5586c4ca1" /><Relationship Type="http://schemas.openxmlformats.org/officeDocument/2006/relationships/worksheet" Target="/xl/worksheets/sheet11.xml" Id="R02739274a0794c45" /><Relationship Type="http://schemas.openxmlformats.org/officeDocument/2006/relationships/worksheet" Target="/xl/worksheets/sheet12.xml" Id="R9f685123eeb54448" /><Relationship Type="http://schemas.openxmlformats.org/officeDocument/2006/relationships/worksheet" Target="/xl/worksheets/sheet13.xml" Id="Rf701897b5011480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c5cb528fc8a413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Inherent Risk Distribution</a:t>
            </a:r>
          </a:p>
        </c:rich>
      </c:tx>
      <c:overlay val="0"/>
    </c:title>
    <c:autoTitleDeleted val="0"/>
    <c:plotArea>
      <c:layout/>
      <c:pieChart>
        <c:ser>
          <c:idx val="0"/>
          <c:order val="0"/>
          <c:tx>
            <c:v>Count</c:v>
          </c:tx>
          <c:cat>
            <c:strRef>
              <c:f>'Dashboard'!$D$5:$D$8</c:f>
              <c:strCache>
                <c:ptCount val="0"/>
              </c:strCache>
            </c:strRef>
          </c:cat>
          <c:val>
            <c:numRef>
              <c:f>'Dashboard'!$E$5:$E$8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c5cb528fc8a413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llDocumentControl" displayName="DellDocumentControl" ref="A4:M5" headerRowCount="1">
  <x:tableColumns count="13">
    <x:tableColumn id="1" name="Document ID"/>
    <x:tableColumn id="2" name="Document Title"/>
    <x:tableColumn id="3" name="Version"/>
    <x:tableColumn id="4" name="Document Status"/>
    <x:tableColumn id="5" name="Classification"/>
    <x:tableColumn id="6" name="Document Owner"/>
    <x:tableColumn id="7" name="Prepared By"/>
    <x:tableColumn id="8" name="Reviewed By"/>
    <x:tableColumn id="9" name="Approved By"/>
    <x:tableColumn id="10" name="Issue Date"/>
    <x:tableColumn id="11" name="Next Review Date"/>
    <x:tableColumn id="12" name="Review Frequency"/>
    <x:tableColumn id="13" name="Change Summary"/>
  </x:tableColumns>
  <x:tableStyleInfo name="TableStyleMedium2" showRowStripes="1"/>
</x:table>
</file>

<file path=xl/tables/table2.xml><?xml version="1.0" encoding="utf-8"?>
<x:table xmlns:x="http://schemas.openxmlformats.org/spreadsheetml/2006/main" id="2" name="DellAssets" displayName="DellAssets" ref="A4:I12" headerRowCount="1">
  <x:tableColumns count="9">
    <x:tableColumn id="1" name="Asset ID"/>
    <x:tableColumn id="2" name="Asset Name"/>
    <x:tableColumn id="3" name="Asset Category"/>
    <x:tableColumn id="4" name="Environment"/>
    <x:tableColumn id="5" name="Business Unit"/>
    <x:tableColumn id="6" name="Asset Criticality"/>
    <x:tableColumn id="7" name="Data Classification"/>
    <x:tableColumn id="8" name="Hosting / Location"/>
    <x:tableColumn id="9" name="Asset Owner"/>
  </x:tableColumns>
  <x:tableStyleInfo name="TableStyleMedium2" showRowStripes="1"/>
</x:table>
</file>

<file path=xl/tables/table3.xml><?xml version="1.0" encoding="utf-8"?>
<x:table xmlns:x="http://schemas.openxmlformats.org/spreadsheetml/2006/main" id="3" name="DellGovernance" displayName="DellGovernance" ref="A4:G11" headerRowCount="1">
  <x:tableColumns count="7">
    <x:tableColumn id="1" name="Governance Level"/>
    <x:tableColumn id="2" name="Role / Committee"/>
    <x:tableColumn id="3" name="Primary Responsibilities"/>
    <x:tableColumn id="4" name="Decision Authority"/>
    <x:tableColumn id="5" name="Escalation Path"/>
    <x:tableColumn id="6" name="Review Cadence"/>
    <x:tableColumn id="7" name="Required Output / Evidence"/>
  </x:tableColumns>
  <x:tableStyleInfo name="TableStyleMedium2" showRowStripes="1"/>
</x:table>
</file>

<file path=xl/tables/table4.xml><?xml version="1.0" encoding="utf-8"?>
<x:table xmlns:x="http://schemas.openxmlformats.org/spreadsheetml/2006/main" id="4" name="DellRiskCriteria" displayName="DellRiskCriteria" ref="A4:G8" headerRowCount="1">
  <x:tableColumns count="7">
    <x:tableColumn id="1" name="Score Range"/>
    <x:tableColumn id="2" name="Risk Level"/>
    <x:tableColumn id="3" name="Acceptance Classification"/>
    <x:tableColumn id="4" name="Required Action"/>
    <x:tableColumn id="5" name="Approval Authority"/>
    <x:tableColumn id="6" name="Review Frequency"/>
    <x:tableColumn id="7" name="Target Treatment Timeline"/>
  </x:tableColumns>
  <x:tableStyleInfo name="TableStyleMedium2" showRowStripes="1"/>
</x:table>
</file>

<file path=xl/tables/table5.xml><?xml version="1.0" encoding="utf-8"?>
<x:table xmlns:x="http://schemas.openxmlformats.org/spreadsheetml/2006/main" id="5" name="DellRiskRegister" displayName="DellRiskRegister" ref="A4:AB16" headerRowCount="1">
  <x:tableColumns count="28">
    <x:tableColumn id="1" name="Risk ID"/>
    <x:tableColumn id="2" name="Risk Title"/>
    <x:tableColumn id="3" name="Risk Category"/>
    <x:tableColumn id="4" name="Affected Asset"/>
    <x:tableColumn id="5" name="Business Unit"/>
    <x:tableColumn id="6" name="Risk Owner"/>
    <x:tableColumn id="7" name="Risk Scenario / Description"/>
    <x:tableColumn id="8" name="Threat Source"/>
    <x:tableColumn id="9" name="Vulnerability / Weakness"/>
    <x:tableColumn id="10" name="Impact Area"/>
    <x:tableColumn id="11" name="Inherent Likelihood"/>
    <x:tableColumn id="12" name="Inherent Impact"/>
    <x:tableColumn id="13" name="Inherent Risk Score"/>
    <x:tableColumn id="14" name="Inherent Risk Level"/>
    <x:tableColumn id="15" name="Treatment Strategy"/>
    <x:tableColumn id="16" name="Planned Risk Controls"/>
    <x:tableColumn id="17" name="Applicable Framework"/>
    <x:tableColumn id="18" name="Framework Control Reference"/>
    <x:tableColumn id="19" name="Residual Likelihood"/>
    <x:tableColumn id="20" name="Residual Impact"/>
    <x:tableColumn id="21" name="Residual Risk Score"/>
    <x:tableColumn id="22" name="Residual Risk Level"/>
    <x:tableColumn id="23" name="Risk Workflow Status"/>
    <x:tableColumn id="24" name="Date Identified"/>
    <x:tableColumn id="25" name="Last Review Date"/>
    <x:tableColumn id="26" name="Next Review Date"/>
    <x:tableColumn id="27" name="Evidence ID"/>
    <x:tableColumn id="28" name="Additional Notes"/>
  </x:tableColumns>
  <x:tableStyleInfo name="TableStyleMedium2" showRowStripes="1"/>
</x:table>
</file>

<file path=xl/tables/table6.xml><?xml version="1.0" encoding="utf-8"?>
<x:table xmlns:x="http://schemas.openxmlformats.org/spreadsheetml/2006/main" id="6" name="DellTreatments" displayName="DellTreatments" ref="A4:O16" headerRowCount="1">
  <x:tableColumns count="15">
    <x:tableColumn id="1" name="Treatment ID"/>
    <x:tableColumn id="2" name="Risk ID"/>
    <x:tableColumn id="3" name="Treatment Type"/>
    <x:tableColumn id="4" name="Treatment Action"/>
    <x:tableColumn id="5" name="Action Owner"/>
    <x:tableColumn id="6" name="Priority"/>
    <x:tableColumn id="7" name="Planned Start Date"/>
    <x:tableColumn id="8" name="Target Completion Date"/>
    <x:tableColumn id="9" name="Estimated One-Time Cost (USD)"/>
    <x:tableColumn id="10" name="Expected Risk Reduction (%)"/>
    <x:tableColumn id="11" name="Completion Progress (%)"/>
    <x:tableColumn id="12" name="Treatment Status"/>
    <x:tableColumn id="13" name="Dependencies"/>
    <x:tableColumn id="14" name="Required Evidence"/>
    <x:tableColumn id="15" name="Last Updated Date"/>
  </x:tableColumns>
  <x:tableStyleInfo name="TableStyleMedium2" showRowStripes="1"/>
</x:table>
</file>

<file path=xl/tables/table7.xml><?xml version="1.0" encoding="utf-8"?>
<x:table xmlns:x="http://schemas.openxmlformats.org/spreadsheetml/2006/main" id="7" name="DellControls" displayName="DellControls" ref="A4:N16" headerRowCount="1">
  <x:tableColumns count="14">
    <x:tableColumn id="1" name="Control ID"/>
    <x:tableColumn id="2" name="Control Name"/>
    <x:tableColumn id="3" name="Control Domain"/>
    <x:tableColumn id="4" name="Applicable Framework"/>
    <x:tableColumn id="5" name="Framework Control ID"/>
    <x:tableColumn id="6" name="Control Objective"/>
    <x:tableColumn id="7" name="Control Owner"/>
    <x:tableColumn id="8" name="Implementation Status"/>
    <x:tableColumn id="9" name="Control Effectiveness (%)"/>
    <x:tableColumn id="10" name="Testing Frequency"/>
    <x:tableColumn id="11" name="Last Test Date"/>
    <x:tableColumn id="12" name="Next Test Date"/>
    <x:tableColumn id="13" name="Evidence ID"/>
    <x:tableColumn id="14" name="Related Risk IDs"/>
  </x:tableColumns>
  <x:tableStyleInfo name="TableStyleMedium2" showRowStripes="1"/>
</x:table>
</file>

<file path=xl/tables/table8.xml><?xml version="1.0" encoding="utf-8"?>
<x:table xmlns:x="http://schemas.openxmlformats.org/spreadsheetml/2006/main" id="8" name="DellKRIRegister" displayName="DellKRIRegister" ref="A4:Q16" headerRowCount="1">
  <x:tableColumns count="17">
    <x:tableColumn id="1" name="KRI ID"/>
    <x:tableColumn id="2" name="Risk ID"/>
    <x:tableColumn id="3" name="KRI Name"/>
    <x:tableColumn id="4" name="Business Unit"/>
    <x:tableColumn id="5" name="KRI Owner"/>
    <x:tableColumn id="6" name="Measurement Frequency"/>
    <x:tableColumn id="7" name="Measurement Unit"/>
    <x:tableColumn id="8" name="Measurement Method / Formula"/>
    <x:tableColumn id="9" name="Target Value"/>
    <x:tableColumn id="10" name="Warning Threshold"/>
    <x:tableColumn id="11" name="Critical Threshold"/>
    <x:tableColumn id="12" name="Current Value"/>
    <x:tableColumn id="13" name="KRI Status"/>
    <x:tableColumn id="14" name="Data Source"/>
    <x:tableColumn id="15" name="Last Measurement Date"/>
    <x:tableColumn id="16" name="Evidence ID"/>
    <x:tableColumn id="17" name="Additional Notes"/>
  </x:tableColumns>
  <x:tableStyleInfo name="TableStyleMedium2" showRowStripes="1"/>
</x:table>
</file>

<file path=xl/tables/table9.xml><?xml version="1.0" encoding="utf-8"?>
<x:table xmlns:x="http://schemas.openxmlformats.org/spreadsheetml/2006/main" id="9" name="DellKRIMeasurements" displayName="DellKRIMeasurements" ref="A4:K76" headerRowCount="1">
  <x:tableColumns count="11">
    <x:tableColumn id="1" name="Measurement ID"/>
    <x:tableColumn id="2" name="KRI ID"/>
    <x:tableColumn id="3" name="Measurement Date"/>
    <x:tableColumn id="4" name="Reporting Period"/>
    <x:tableColumn id="5" name="Measured Value"/>
    <x:tableColumn id="6" name="Measurement Unit"/>
    <x:tableColumn id="7" name="Calculated Status"/>
    <x:tableColumn id="8" name="Measured By"/>
    <x:tableColumn id="9" name="Data Source"/>
    <x:tableColumn id="10" name="Evidence ID"/>
    <x:tableColumn id="11" name="Measurement Notes"/>
  </x:tableColumns>
  <x:tableStyleInfo name="TableStyleMedium2" showRowStripes="1"/>
</x:table>
</file>

<file path=xl/tables/table10.xml><?xml version="1.0" encoding="utf-8"?>
<x:table xmlns:x="http://schemas.openxmlformats.org/spreadsheetml/2006/main" id="10" name="DellEvidence" displayName="DellEvidence" ref="A4:L16" headerRowCount="1">
  <x:tableColumns count="12">
    <x:tableColumn id="1" name="Evidence ID"/>
    <x:tableColumn id="2" name="Related Module"/>
    <x:tableColumn id="3" name="Related Record ID"/>
    <x:tableColumn id="4" name="Evidence Type"/>
    <x:tableColumn id="5" name="File Name / Reference"/>
    <x:tableColumn id="6" name="Evidence Description"/>
    <x:tableColumn id="7" name="Evidence Owner"/>
    <x:tableColumn id="8" name="Collection Date"/>
    <x:tableColumn id="9" name="Review Status"/>
    <x:tableColumn id="10" name="Reviewed By"/>
    <x:tableColumn id="11" name="Retention Date"/>
    <x:tableColumn id="12" name="Information Classification"/>
  </x:tableColumns>
  <x:tableStyleInfo name="TableStyleMedium2" showRowStripes="1"/>
</x:table>
</file>

<file path=xl/tables/table11.xml><?xml version="1.0" encoding="utf-8"?>
<x:table xmlns:x="http://schemas.openxmlformats.org/spreadsheetml/2006/main" id="11" name="DellImportSchema" displayName="DellImportSchema" ref="A4:F10" headerRowCount="1">
  <x:tableColumns count="6">
    <x:tableColumn id="1" name="Module"/>
    <x:tableColumn id="2" name="Unique Record Key"/>
    <x:tableColumn id="3" name="Required Import Columns"/>
    <x:tableColumn id="4" name="Optional Import Columns"/>
    <x:tableColumn id="5" name="Recommended Import Mode"/>
    <x:tableColumn id="6" name="Validation / Processing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77b555108b24ef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893dc8f9c8c44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f9fb18e5c9d4a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ed144a5fdc944e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a655c128ab34b7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27cef089a4540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9519b158bc34d0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7a56fc8ca57484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3ebf7843d12a4dd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a6c7d5619f14b7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.xml" Id="R0e2fc91ac70840e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1.xml" Id="R3fc77e4d89864f57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2" hidden="0" customWidth="1"/>
  </x:cols>
  <x:sheetData>
    <x:row r="1" ht="34" customHeight="1">
      <x:c r="A1" s="5" t="str">
        <x:v>Dell Synthetic Risk Assessment Dataset</x:v>
      </x:c>
      <x:c r="B1" s="5"/>
      <x:c r="C1" s="5"/>
      <x:c r="D1" s="5"/>
      <x:c r="E1" s="5"/>
      <x:c r="F1" s="5"/>
      <x:c r="G1" s="5"/>
      <x:c r="H1" s="5"/>
    </x:row>
    <x:row r="2" ht="28" customHeight="1">
      <x:c r="A2" s="13" t="str">
        <x:v>Synthetic training data for GRCx only. It is not an official assessment and contains no source-document records.</x:v>
      </x:c>
      <x:c r="B2" s="13"/>
      <x:c r="C2" s="13"/>
      <x:c r="D2" s="13"/>
      <x:c r="E2" s="13"/>
      <x:c r="F2" s="13"/>
      <x:c r="G2" s="13"/>
      <x:c r="H2" s="13"/>
    </x:row>
    <x:row r="4">
      <x:c r="A4" s="19" t="str">
        <x:v>Dataset Classification</x:v>
      </x:c>
      <x:c r="B4" s="23" t="str">
        <x:v>Synthetic / Training Use Only</x:v>
      </x:c>
    </x:row>
    <x:row r="5">
      <x:c r="A5" s="19" t="str">
        <x:v>Organization Label</x:v>
      </x:c>
      <x:c r="B5" s="23" t="str">
        <x:v>Dell Synthetic Enterprise Environment</x:v>
      </x:c>
    </x:row>
    <x:row r="6">
      <x:c r="A6" s="19" t="str">
        <x:v>Intended Use</x:v>
      </x:c>
      <x:c r="B6" s="23" t="str">
        <x:v>GRCx Risk Assessment frontend, backend, database, import/export, filtering, scoring, treatment, evidence, and reporting tests.</x:v>
      </x:c>
    </x:row>
    <x:row r="7">
      <x:c r="A7" s="19" t="str">
        <x:v>Confidentiality Notice</x:v>
      </x:c>
      <x:c r="B7" s="23" t="str">
        <x:v>No names, risk records, costs, decisions, or sensitive details were copied from the uploaded documents.</x:v>
      </x:c>
    </x:row>
    <x:row r="8">
      <x:c r="A8" s="19" t="str">
        <x:v>Design Approach</x:v>
      </x:c>
      <x:c r="B8" s="23" t="str">
        <x:v>The workbook follows a professional risk lifecycle: document control, scope, assets, governance, risk acceptance criteria, inherent assessment, treatment, residual risk, KRI monitoring, evidence, and review.</x:v>
      </x:c>
    </x:row>
    <x:row r="9">
      <x:c r="A9" s="19" t="str">
        <x:v>Primary Keys</x:v>
      </x:c>
      <x:c r="B9" s="23" t="str">
        <x:v>Asset ID, Risk ID, Treatment ID, Control ID, KRI ID, Measurement ID, Evidence ID.</x:v>
      </x:c>
    </x:row>
    <x:row r="10">
      <x:c r="A10" s="19" t="str">
        <x:v>Scoring Method</x:v>
      </x:c>
      <x:c r="B10" s="23" t="str">
        <x:v>Risk Score = Likelihood × Impact on a 1–5 scale.</x:v>
      </x:c>
    </x:row>
    <x:row r="11">
      <x:c r="A11" s="19" t="str">
        <x:v>Risk Levels</x:v>
      </x:c>
      <x:c r="B11" s="23" t="str">
        <x:v>1–4 Low; 5–9 Medium; 10–14 High; 15–25 Critical.</x:v>
      </x:c>
    </x:row>
    <x:row r="12">
      <x:c r="A12" s="19" t="str">
        <x:v>Acceptance Rule</x:v>
      </x:c>
      <x:c r="B12" s="23" t="str">
        <x:v>Low may be monitored; Medium requires treatment planning; High and Critical require escalation and documented approval.</x:v>
      </x:c>
    </x:row>
    <x:row r="13">
      <x:c r="A13" s="19" t="str">
        <x:v>Data History</x:v>
      </x:c>
      <x:c r="B13" s="23" t="str">
        <x:v>Measurements and assessments are versioned; prior periods are not overwritten.</x:v>
      </x:c>
    </x:row>
    <x:row r="14">
      <x:c r="A14" s="19" t="str">
        <x:v>Usage Restriction</x:v>
      </x:c>
      <x:c r="B14" s="23" t="str">
        <x:v>Do not present this workbook as an official risk assessment of the named organization.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10" hidden="0" customWidth="1"/>
    <x:col min="4" max="4" width="18" hidden="0" customWidth="1"/>
    <x:col min="5" max="5" width="24" hidden="0" customWidth="1"/>
    <x:col min="6" max="6" width="18" hidden="0" customWidth="1"/>
    <x:col min="7" max="7" width="18" hidden="0" customWidth="1"/>
    <x:col min="8" max="8" width="22" hidden="0" customWidth="1"/>
    <x:col min="9" max="9" width="20" hidden="0" customWidth="1"/>
    <x:col min="10" max="10" width="14" hidden="0" customWidth="1"/>
    <x:col min="11" max="11" width="16" hidden="0" customWidth="1"/>
    <x:col min="12" max="12" width="16" hidden="0" customWidth="1"/>
    <x:col min="13" max="13" width="44" hidden="0" customWidth="1"/>
  </x:cols>
  <x:sheetData>
    <x:row r="1" ht="34" customHeight="1">
      <x:c r="A1" s="5" t="str">
        <x:v>Dell Document Control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</x:row>
    <x:row r="2" ht="28" customHeight="1">
      <x:c r="A2" s="13" t="str">
        <x:v>Versioning, approval, ownership, classification, and review metadata.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</x:row>
    <x:row r="4" ht="32" customHeight="1">
      <x:c r="A4" s="30" t="str">
        <x:v>Document ID</x:v>
      </x:c>
      <x:c r="B4" s="30" t="str">
        <x:v>Document Title</x:v>
      </x:c>
      <x:c r="C4" s="30" t="str">
        <x:v>Version</x:v>
      </x:c>
      <x:c r="D4" s="30" t="str">
        <x:v>Document Status</x:v>
      </x:c>
      <x:c r="E4" s="30" t="str">
        <x:v>Classification</x:v>
      </x:c>
      <x:c r="F4" s="30" t="str">
        <x:v>Document Owner</x:v>
      </x:c>
      <x:c r="G4" s="30" t="str">
        <x:v>Prepared By</x:v>
      </x:c>
      <x:c r="H4" s="30" t="str">
        <x:v>Reviewed By</x:v>
      </x:c>
      <x:c r="I4" s="30" t="str">
        <x:v>Approved By</x:v>
      </x:c>
      <x:c r="J4" s="30" t="str">
        <x:v>Issue Date</x:v>
      </x:c>
      <x:c r="K4" s="30" t="str">
        <x:v>Next Review Date</x:v>
      </x:c>
      <x:c r="L4" s="30" t="str">
        <x:v>Review Frequency</x:v>
      </x:c>
      <x:c r="M4" s="30" t="str">
        <x:v>Change Summary</x:v>
      </x:c>
    </x:row>
    <x:row r="5">
      <x:c r="A5" s="38" t="str">
        <x:v>DOC-DEL-RA-001</x:v>
      </x:c>
      <x:c r="B5" s="38" t="str">
        <x:v>Dell Synthetic Enterprise Risk Assessment</x:v>
      </x:c>
      <x:c r="C5" s="38" t="str">
        <x:v>1.0</x:v>
      </x:c>
      <x:c r="D5" s="38" t="str">
        <x:v>Approved</x:v>
      </x:c>
      <x:c r="E5" s="38" t="str">
        <x:v>Synthetic / Internal Training</x:v>
      </x:c>
      <x:c r="F5" s="38" t="str">
        <x:v>GRC Manager</x:v>
      </x:c>
      <x:c r="G5" s="38" t="str">
        <x:v>Risk Analyst</x:v>
      </x:c>
      <x:c r="H5" s="38" t="str">
        <x:v>Cybersecurity Manager</x:v>
      </x:c>
      <x:c r="I5" s="38" t="str">
        <x:v>Risk Committee</x:v>
      </x:c>
      <x:c r="J5" s="42" t="n">
        <x:v>46235</x:v>
      </x:c>
      <x:c r="K5" s="42" t="n">
        <x:v>46600</x:v>
      </x:c>
      <x:c r="L5" s="38" t="str">
        <x:v>Annual</x:v>
      </x:c>
      <x:c r="M5" s="38" t="str">
        <x:v>Initial synthetic release for GRCx testing.</x:v>
      </x:c>
    </x:row>
  </x:sheetData>
  <x:mergeCells>
    <x:mergeCell ref="A1:M1"/>
    <x:mergeCell ref="A2:M2"/>
  </x:mergeCells>
  <x:conditionalFormatting sqref="A5:M5">
    <x:cfRule type="expression" dxfId="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77b555108b24ef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1" hidden="0" customWidth="1"/>
    <x:col min="3" max="3" width="22" hidden="0" customWidth="1"/>
    <x:col min="4" max="4" width="16" hidden="0" customWidth="1"/>
    <x:col min="5" max="5" width="23" hidden="0" customWidth="1"/>
    <x:col min="6" max="6" width="18" hidden="0" customWidth="1"/>
    <x:col min="7" max="7" width="20" hidden="0" customWidth="1"/>
    <x:col min="8" max="8" width="23" hidden="0" customWidth="1"/>
    <x:col min="9" max="9" width="16" hidden="0" customWidth="1"/>
  </x:cols>
  <x:sheetData>
    <x:row r="1" ht="34" customHeight="1">
      <x:c r="A1" s="5" t="str">
        <x:v>Dell Scope and Asset Register</x:v>
      </x:c>
      <x:c r="B1" s="5"/>
      <x:c r="C1" s="5"/>
      <x:c r="D1" s="5"/>
      <x:c r="E1" s="5"/>
      <x:c r="F1" s="5"/>
      <x:c r="G1" s="5"/>
      <x:c r="H1" s="5"/>
      <x:c r="I1" s="5"/>
    </x:row>
    <x:row r="2" ht="28" customHeight="1">
      <x:c r="A2" s="13" t="str">
        <x:v>Synthetic technical, information, operational, and supporting assets included in the assessment scope.</x:v>
      </x:c>
      <x:c r="B2" s="13"/>
      <x:c r="C2" s="13"/>
      <x:c r="D2" s="13"/>
      <x:c r="E2" s="13"/>
      <x:c r="F2" s="13"/>
      <x:c r="G2" s="13"/>
      <x:c r="H2" s="13"/>
      <x:c r="I2" s="13"/>
    </x:row>
    <x:row r="4" ht="32" customHeight="1">
      <x:c r="A4" s="30" t="str">
        <x:v>Asset ID</x:v>
      </x:c>
      <x:c r="B4" s="30" t="str">
        <x:v>Asset Name</x:v>
      </x:c>
      <x:c r="C4" s="30" t="str">
        <x:v>Asset Category</x:v>
      </x:c>
      <x:c r="D4" s="30" t="str">
        <x:v>Environment</x:v>
      </x:c>
      <x:c r="E4" s="30" t="str">
        <x:v>Business Unit</x:v>
      </x:c>
      <x:c r="F4" s="30" t="str">
        <x:v>Asset Criticality</x:v>
      </x:c>
      <x:c r="G4" s="30" t="str">
        <x:v>Data Classification</x:v>
      </x:c>
      <x:c r="H4" s="30" t="str">
        <x:v>Hosting / Location</x:v>
      </x:c>
      <x:c r="I4" s="30" t="str">
        <x:v>Asset Owner</x:v>
      </x:c>
    </x:row>
    <x:row r="5">
      <x:c r="A5" s="38" t="str">
        <x:v>AST-DELL-001</x:v>
      </x:c>
      <x:c r="B5" s="38" t="str">
        <x:v>Device Management Cloud</x:v>
      </x:c>
      <x:c r="C5" s="38" t="str">
        <x:v>Cloud Platform</x:v>
      </x:c>
      <x:c r="D5" s="38" t="str">
        <x:v>Production</x:v>
      </x:c>
      <x:c r="E5" s="38" t="str">
        <x:v>Cloud Operations</x:v>
      </x:c>
      <x:c r="F5" s="38" t="str">
        <x:v>Critical</x:v>
      </x:c>
      <x:c r="G5" s="38" t="str">
        <x:v>Confidential</x:v>
      </x:c>
      <x:c r="H5" s="38" t="str">
        <x:v>Multi-Region Cloud</x:v>
      </x:c>
      <x:c r="I5" s="38" t="str">
        <x:v>Lina</x:v>
      </x:c>
    </x:row>
    <x:row r="6">
      <x:c r="A6" s="38" t="str">
        <x:v>AST-DELL-002</x:v>
      </x:c>
      <x:c r="B6" s="38" t="str">
        <x:v>Firmware Signing Service</x:v>
      </x:c>
      <x:c r="C6" s="38" t="str">
        <x:v>Security Service</x:v>
      </x:c>
      <x:c r="D6" s="38" t="str">
        <x:v>Production</x:v>
      </x:c>
      <x:c r="E6" s="38" t="str">
        <x:v>Product Security</x:v>
      </x:c>
      <x:c r="F6" s="38" t="str">
        <x:v>Critical</x:v>
      </x:c>
      <x:c r="G6" s="38" t="str">
        <x:v>Restricted</x:v>
      </x:c>
      <x:c r="H6" s="38" t="str">
        <x:v>Private Cloud</x:v>
      </x:c>
      <x:c r="I6" s="38" t="str">
        <x:v>Omar</x:v>
      </x:c>
    </x:row>
    <x:row r="7">
      <x:c r="A7" s="38" t="str">
        <x:v>AST-DELL-003</x:v>
      </x:c>
      <x:c r="B7" s="38" t="str">
        <x:v>Global Parts Supplier Portal</x:v>
      </x:c>
      <x:c r="C7" s="38" t="str">
        <x:v>Web Application</x:v>
      </x:c>
      <x:c r="D7" s="38" t="str">
        <x:v>Production</x:v>
      </x:c>
      <x:c r="E7" s="38" t="str">
        <x:v>Supply Chain</x:v>
      </x:c>
      <x:c r="F7" s="38" t="str">
        <x:v>High</x:v>
      </x:c>
      <x:c r="G7" s="38" t="str">
        <x:v>Confidential</x:v>
      </x:c>
      <x:c r="H7" s="38" t="str">
        <x:v>Cloud</x:v>
      </x:c>
      <x:c r="I7" s="38" t="str">
        <x:v>Noura</x:v>
      </x:c>
    </x:row>
    <x:row r="8">
      <x:c r="A8" s="38" t="str">
        <x:v>AST-DELL-004</x:v>
      </x:c>
      <x:c r="B8" s="38" t="str">
        <x:v>Customer Support CRM</x:v>
      </x:c>
      <x:c r="C8" s="38" t="str">
        <x:v>SaaS Application</x:v>
      </x:c>
      <x:c r="D8" s="38" t="str">
        <x:v>Production</x:v>
      </x:c>
      <x:c r="E8" s="38" t="str">
        <x:v>Customer Support</x:v>
      </x:c>
      <x:c r="F8" s="38" t="str">
        <x:v>High</x:v>
      </x:c>
      <x:c r="G8" s="38" t="str">
        <x:v>Confidential</x:v>
      </x:c>
      <x:c r="H8" s="38" t="str">
        <x:v>SaaS</x:v>
      </x:c>
      <x:c r="I8" s="38" t="str">
        <x:v>Fahad</x:v>
      </x:c>
    </x:row>
    <x:row r="9">
      <x:c r="A9" s="38" t="str">
        <x:v>AST-DELL-005</x:v>
      </x:c>
      <x:c r="B9" s="38" t="str">
        <x:v>Warranty Claims Database</x:v>
      </x:c>
      <x:c r="C9" s="38" t="str">
        <x:v>Database</x:v>
      </x:c>
      <x:c r="D9" s="38" t="str">
        <x:v>Production</x:v>
      </x:c>
      <x:c r="E9" s="38" t="str">
        <x:v>Customer Support</x:v>
      </x:c>
      <x:c r="F9" s="38" t="str">
        <x:v>Critical</x:v>
      </x:c>
      <x:c r="G9" s="38" t="str">
        <x:v>Restricted</x:v>
      </x:c>
      <x:c r="H9" s="38" t="str">
        <x:v>Private Cloud</x:v>
      </x:c>
      <x:c r="I9" s="38" t="str">
        <x:v>Mariam</x:v>
      </x:c>
    </x:row>
    <x:row r="10">
      <x:c r="A10" s="38" t="str">
        <x:v>AST-DELL-006</x:v>
      </x:c>
      <x:c r="B10" s="38" t="str">
        <x:v>Endpoint Update Repository</x:v>
      </x:c>
      <x:c r="C10" s="38" t="str">
        <x:v>Software Repository</x:v>
      </x:c>
      <x:c r="D10" s="38" t="str">
        <x:v>Production</x:v>
      </x:c>
      <x:c r="E10" s="38" t="str">
        <x:v>Product Security</x:v>
      </x:c>
      <x:c r="F10" s="38" t="str">
        <x:v>Critical</x:v>
      </x:c>
      <x:c r="G10" s="38" t="str">
        <x:v>Internal</x:v>
      </x:c>
      <x:c r="H10" s="38" t="str">
        <x:v>Hybrid</x:v>
      </x:c>
      <x:c r="I10" s="38" t="str">
        <x:v>Ahmed</x:v>
      </x:c>
    </x:row>
    <x:row r="11">
      <x:c r="A11" s="38" t="str">
        <x:v>AST-DELL-007</x:v>
      </x:c>
      <x:c r="B11" s="38" t="str">
        <x:v>Enterprise Identity Tenant</x:v>
      </x:c>
      <x:c r="C11" s="38" t="str">
        <x:v>Identity Service</x:v>
      </x:c>
      <x:c r="D11" s="38" t="str">
        <x:v>Production</x:v>
      </x:c>
      <x:c r="E11" s="38" t="str">
        <x:v>Enterprise IT</x:v>
      </x:c>
      <x:c r="F11" s="38" t="str">
        <x:v>Critical</x:v>
      </x:c>
      <x:c r="G11" s="38" t="str">
        <x:v>Restricted</x:v>
      </x:c>
      <x:c r="H11" s="38" t="str">
        <x:v>Cloud</x:v>
      </x:c>
      <x:c r="I11" s="38" t="str">
        <x:v>Sara</x:v>
      </x:c>
    </x:row>
    <x:row r="12">
      <x:c r="A12" s="38" t="str">
        <x:v>AST-DELL-008</x:v>
      </x:c>
      <x:c r="B12" s="38" t="str">
        <x:v>Recovery Orchestration Platform</x:v>
      </x:c>
      <x:c r="C12" s="38" t="str">
        <x:v>DR Platform</x:v>
      </x:c>
      <x:c r="D12" s="38" t="str">
        <x:v>Production</x:v>
      </x:c>
      <x:c r="E12" s="38" t="str">
        <x:v>Business Continuity</x:v>
      </x:c>
      <x:c r="F12" s="38" t="str">
        <x:v>Critical</x:v>
      </x:c>
      <x:c r="G12" s="38" t="str">
        <x:v>Internal</x:v>
      </x:c>
      <x:c r="H12" s="38" t="str">
        <x:v>Secondary Region</x:v>
      </x:c>
      <x:c r="I12" s="38" t="str">
        <x:v>Khalid</x:v>
      </x:c>
    </x:row>
  </x:sheetData>
  <x:mergeCells>
    <x:mergeCell ref="A1:I1"/>
    <x:mergeCell ref="A2:I2"/>
  </x:mergeCells>
  <x:conditionalFormatting sqref="A5:I12">
    <x:cfRule type="expression" dxfId="1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893dc8f9c8c444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55" hidden="0" customWidth="1"/>
    <x:col min="4" max="4" width="45" hidden="0" customWidth="1"/>
    <x:col min="5" max="5" width="32" hidden="0" customWidth="1"/>
    <x:col min="6" max="6" width="16" hidden="0" customWidth="1"/>
    <x:col min="7" max="7" width="34" hidden="0" customWidth="1"/>
  </x:cols>
  <x:sheetData>
    <x:row r="1" ht="34" customHeight="1">
      <x:c r="A1" s="5" t="str">
        <x:v>Dell Governance and Responsibilities</x:v>
      </x:c>
      <x:c r="B1" s="5"/>
      <x:c r="C1" s="5"/>
      <x:c r="D1" s="5"/>
      <x:c r="E1" s="5"/>
      <x:c r="F1" s="5"/>
      <x:c r="G1" s="5"/>
    </x:row>
    <x:row r="2" ht="28" customHeight="1">
      <x:c r="A2" s="13" t="str">
        <x:v>Synthetic governance hierarchy from strategic oversight through operational ownership.</x:v>
      </x:c>
      <x:c r="B2" s="13"/>
      <x:c r="C2" s="13"/>
      <x:c r="D2" s="13"/>
      <x:c r="E2" s="13"/>
      <x:c r="F2" s="13"/>
      <x:c r="G2" s="13"/>
    </x:row>
    <x:row r="4" ht="32" customHeight="1">
      <x:c r="A4" s="30" t="str">
        <x:v>Governance Level</x:v>
      </x:c>
      <x:c r="B4" s="30" t="str">
        <x:v>Role / Committee</x:v>
      </x:c>
      <x:c r="C4" s="30" t="str">
        <x:v>Primary Responsibilities</x:v>
      </x:c>
      <x:c r="D4" s="30" t="str">
        <x:v>Decision Authority</x:v>
      </x:c>
      <x:c r="E4" s="30" t="str">
        <x:v>Escalation Path</x:v>
      </x:c>
      <x:c r="F4" s="30" t="str">
        <x:v>Review Cadence</x:v>
      </x:c>
      <x:c r="G4" s="30" t="str">
        <x:v>Required Output / Evidence</x:v>
      </x:c>
    </x:row>
    <x:row r="5">
      <x:c r="A5" s="38" t="str">
        <x:v>Strategic</x:v>
      </x:c>
      <x:c r="B5" s="38" t="str">
        <x:v>Executive Risk Committee</x:v>
      </x:c>
      <x:c r="C5" s="38" t="str">
        <x:v>Approve risk appetite, critical treatment funding, and unresolved high-risk decisions.</x:v>
      </x:c>
      <x:c r="D5" s="38" t="str">
        <x:v>Approve critical risk acceptance and major investments.</x:v>
      </x:c>
      <x:c r="E5" s="38" t="str">
        <x:v>Board / Executive Leadership</x:v>
      </x:c>
      <x:c r="F5" s="38" t="str">
        <x:v>Quarterly</x:v>
      </x:c>
      <x:c r="G5" s="38" t="str">
        <x:v>Approved minutes and risk decisions</x:v>
      </x:c>
    </x:row>
    <x:row r="6">
      <x:c r="A6" s="38" t="str">
        <x:v>Oversight</x:v>
      </x:c>
      <x:c r="B6" s="38" t="str">
        <x:v>Cybersecurity and Risk Committee</x:v>
      </x:c>
      <x:c r="C6" s="38" t="str">
        <x:v>Review risk reports, KRIs, overdue treatments, and compliance exceptions.</x:v>
      </x:c>
      <x:c r="D6" s="38" t="str">
        <x:v>Direct remediation and escalate unacceptable risks.</x:v>
      </x:c>
      <x:c r="E6" s="38" t="str">
        <x:v>Executive Risk Committee</x:v>
      </x:c>
      <x:c r="F6" s="38" t="str">
        <x:v>Monthly</x:v>
      </x:c>
      <x:c r="G6" s="38" t="str">
        <x:v>Risk oversight report</x:v>
      </x:c>
    </x:row>
    <x:row r="7">
      <x:c r="A7" s="38" t="str">
        <x:v>Management</x:v>
      </x:c>
      <x:c r="B7" s="38" t="str">
        <x:v>CISO / Security Director</x:v>
      </x:c>
      <x:c r="C7" s="38" t="str">
        <x:v>Operate the cyber-risk program and ensure controls and incident coordination.</x:v>
      </x:c>
      <x:c r="D7" s="38" t="str">
        <x:v>Approve routine security treatments and standards.</x:v>
      </x:c>
      <x:c r="E7" s="38" t="str">
        <x:v>Cybersecurity and Risk Committee</x:v>
      </x:c>
      <x:c r="F7" s="38" t="str">
        <x:v>Monthly</x:v>
      </x:c>
      <x:c r="G7" s="38" t="str">
        <x:v>Cyber risk report</x:v>
      </x:c>
    </x:row>
    <x:row r="8">
      <x:c r="A8" s="38" t="str">
        <x:v>Governance</x:v>
      </x:c>
      <x:c r="B8" s="38" t="str">
        <x:v>GRC Manager</x:v>
      </x:c>
      <x:c r="C8" s="38" t="str">
        <x:v>Maintain methodology, risk register, evidence, control mappings, and review schedule.</x:v>
      </x:c>
      <x:c r="D8" s="38" t="str">
        <x:v>Approve standard risk updates and evidence closure.</x:v>
      </x:c>
      <x:c r="E8" s="38" t="str">
        <x:v>CISO</x:v>
      </x:c>
      <x:c r="F8" s="38" t="str">
        <x:v>Monthly</x:v>
      </x:c>
      <x:c r="G8" s="38" t="str">
        <x:v>Risk register and assurance package</x:v>
      </x:c>
    </x:row>
    <x:row r="9">
      <x:c r="A9" s="38" t="str">
        <x:v>Ownership</x:v>
      </x:c>
      <x:c r="B9" s="38" t="str">
        <x:v>Risk Owner</x:v>
      </x:c>
      <x:c r="C9" s="38" t="str">
        <x:v>Own risk decisions, treatment actions, due dates, and residual acceptance requests.</x:v>
      </x:c>
      <x:c r="D9" s="38" t="str">
        <x:v>Propose treatment and sign completion evidence.</x:v>
      </x:c>
      <x:c r="E9" s="38" t="str">
        <x:v>GRC Manager</x:v>
      </x:c>
      <x:c r="F9" s="38" t="str">
        <x:v>Monthly</x:v>
      </x:c>
      <x:c r="G9" s="38" t="str">
        <x:v>Treatment progress and acceptance request</x:v>
      </x:c>
    </x:row>
    <x:row r="10">
      <x:c r="A10" s="38" t="str">
        <x:v>Control</x:v>
      </x:c>
      <x:c r="B10" s="38" t="str">
        <x:v>Control Owner</x:v>
      </x:c>
      <x:c r="C10" s="38" t="str">
        <x:v>Operate and test assigned controls and remediate control weaknesses.</x:v>
      </x:c>
      <x:c r="D10" s="38" t="str">
        <x:v>Approve control test evidence.</x:v>
      </x:c>
      <x:c r="E10" s="38" t="str">
        <x:v>Risk Owner / GRC</x:v>
      </x:c>
      <x:c r="F10" s="38" t="str">
        <x:v>Quarterly</x:v>
      </x:c>
      <x:c r="G10" s="38" t="str">
        <x:v>Control test results</x:v>
      </x:c>
    </x:row>
    <x:row r="11">
      <x:c r="A11" s="38" t="str">
        <x:v>Independent Assurance</x:v>
      </x:c>
      <x:c r="B11" s="38" t="str">
        <x:v>Internal Audit</x:v>
      </x:c>
      <x:c r="C11" s="38" t="str">
        <x:v>Independently assess design and operating effectiveness.</x:v>
      </x:c>
      <x:c r="D11" s="38" t="str">
        <x:v>Issue findings and recommendations.</x:v>
      </x:c>
      <x:c r="E11" s="38" t="str">
        <x:v>Audit Committee</x:v>
      </x:c>
      <x:c r="F11" s="38" t="str">
        <x:v>Annual</x:v>
      </x:c>
      <x:c r="G11" s="38" t="str">
        <x:v>Independent audit report</x:v>
      </x:c>
    </x:row>
  </x:sheetData>
  <x:mergeCells>
    <x:mergeCell ref="A1:G1"/>
    <x:mergeCell ref="A2:G2"/>
  </x:mergeCells>
  <x:conditionalFormatting sqref="A5:G11">
    <x:cfRule type="expression" dxfId="2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f9fb18e5c9d4ac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4" hidden="0" customWidth="1"/>
    <x:col min="3" max="3" width="28" hidden="0" customWidth="1"/>
    <x:col min="4" max="4" width="48" hidden="0" customWidth="1"/>
    <x:col min="5" max="5" width="32" hidden="0" customWidth="1"/>
    <x:col min="6" max="6" width="18" hidden="0" customWidth="1"/>
    <x:col min="7" max="7" width="24" hidden="0" customWidth="1"/>
  </x:cols>
  <x:sheetData>
    <x:row r="1" ht="34" customHeight="1">
      <x:c r="A1" s="5" t="str">
        <x:v>Dell Risk Acceptance Criteria</x:v>
      </x:c>
      <x:c r="B1" s="5"/>
      <x:c r="C1" s="5"/>
      <x:c r="D1" s="5"/>
      <x:c r="E1" s="5"/>
      <x:c r="F1" s="5"/>
      <x:c r="G1" s="5"/>
    </x:row>
    <x:row r="2" ht="28" customHeight="1">
      <x:c r="A2" s="13" t="str">
        <x:v>Synthetic acceptance thresholds and escalation requirements for the 5×5 risk matrix.</x:v>
      </x:c>
      <x:c r="B2" s="13"/>
      <x:c r="C2" s="13"/>
      <x:c r="D2" s="13"/>
      <x:c r="E2" s="13"/>
      <x:c r="F2" s="13"/>
      <x:c r="G2" s="13"/>
    </x:row>
    <x:row r="4" ht="32" customHeight="1">
      <x:c r="A4" s="30" t="str">
        <x:v>Score Range</x:v>
      </x:c>
      <x:c r="B4" s="30" t="str">
        <x:v>Risk Level</x:v>
      </x:c>
      <x:c r="C4" s="30" t="str">
        <x:v>Acceptance Classification</x:v>
      </x:c>
      <x:c r="D4" s="30" t="str">
        <x:v>Required Action</x:v>
      </x:c>
      <x:c r="E4" s="30" t="str">
        <x:v>Approval Authority</x:v>
      </x:c>
      <x:c r="F4" s="30" t="str">
        <x:v>Review Frequency</x:v>
      </x:c>
      <x:c r="G4" s="30" t="str">
        <x:v>Target Treatment Timeline</x:v>
      </x:c>
    </x:row>
    <x:row r="5">
      <x:c r="A5" s="38" t="str">
        <x:v>1–4</x:v>
      </x:c>
      <x:c r="B5" s="38" t="str">
        <x:v>Low</x:v>
      </x:c>
      <x:c r="C5" s="38" t="str">
        <x:v>Acceptable</x:v>
      </x:c>
      <x:c r="D5" s="38" t="str">
        <x:v>Monitor and maintain existing controls.</x:v>
      </x:c>
      <x:c r="E5" s="38" t="str">
        <x:v>Risk Owner</x:v>
      </x:c>
      <x:c r="F5" s="38" t="str">
        <x:v>Quarterly</x:v>
      </x:c>
      <x:c r="G5" s="38" t="str">
        <x:v>Routine review</x:v>
      </x:c>
    </x:row>
    <x:row r="6">
      <x:c r="A6" s="38" t="str">
        <x:v>5–9</x:v>
      </x:c>
      <x:c r="B6" s="38" t="str">
        <x:v>Medium</x:v>
      </x:c>
      <x:c r="C6" s="38" t="str">
        <x:v>Treatment Required</x:v>
      </x:c>
      <x:c r="D6" s="38" t="str">
        <x:v>Document mitigation plan and responsible owner.</x:v>
      </x:c>
      <x:c r="E6" s="38" t="str">
        <x:v>GRC Manager</x:v>
      </x:c>
      <x:c r="F6" s="38" t="str">
        <x:v>Monthly</x:v>
      </x:c>
      <x:c r="G6" s="38" t="str">
        <x:v>90 days</x:v>
      </x:c>
    </x:row>
    <x:row r="7">
      <x:c r="A7" s="38" t="str">
        <x:v>10–14</x:v>
      </x:c>
      <x:c r="B7" s="38" t="str">
        <x:v>High</x:v>
      </x:c>
      <x:c r="C7" s="38" t="str">
        <x:v>Unacceptable Without Approval</x:v>
      </x:c>
      <x:c r="D7" s="38" t="str">
        <x:v>Immediate treatment plan and committee escalation.</x:v>
      </x:c>
      <x:c r="E7" s="38" t="str">
        <x:v>Cybersecurity and Risk Committee</x:v>
      </x:c>
      <x:c r="F7" s="38" t="str">
        <x:v>Biweekly</x:v>
      </x:c>
      <x:c r="G7" s="38" t="str">
        <x:v>45 days</x:v>
      </x:c>
    </x:row>
    <x:row r="8">
      <x:c r="A8" s="38" t="str">
        <x:v>15–25</x:v>
      </x:c>
      <x:c r="B8" s="38" t="str">
        <x:v>Critical</x:v>
      </x:c>
      <x:c r="C8" s="38" t="str">
        <x:v>Rejected / Emergency Action</x:v>
      </x:c>
      <x:c r="D8" s="38" t="str">
        <x:v>Immediate containment, executive escalation, and tracked remediation.</x:v>
      </x:c>
      <x:c r="E8" s="38" t="str">
        <x:v>Executive Risk Committee</x:v>
      </x:c>
      <x:c r="F8" s="38" t="str">
        <x:v>Weekly</x:v>
      </x:c>
      <x:c r="G8" s="38" t="str">
        <x:v>15 days</x:v>
      </x:c>
    </x:row>
  </x:sheetData>
  <x:mergeCells>
    <x:mergeCell ref="A1:G1"/>
    <x:mergeCell ref="A2:G2"/>
  </x:mergeCells>
  <x:conditionalFormatting sqref="A5:G8">
    <x:cfRule type="expression" dxfId="3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ed144a5fdc944e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31" hidden="0" customWidth="1"/>
    <x:col min="3" max="3" width="21" hidden="0" customWidth="1"/>
    <x:col min="4" max="4" width="28" hidden="0" customWidth="1"/>
    <x:col min="5" max="5" width="23" hidden="0" customWidth="1"/>
    <x:col min="6" max="6" width="15" hidden="0" customWidth="1"/>
    <x:col min="7" max="7" width="52" hidden="0" customWidth="1"/>
    <x:col min="8" max="8" width="25" hidden="0" customWidth="1"/>
    <x:col min="9" max="9" width="31" hidden="0" customWidth="1"/>
    <x:col min="10" max="10" width="23" hidden="0" customWidth="1"/>
    <x:col min="11" max="11" width="15" hidden="0" customWidth="1"/>
    <x:col min="12" max="12" width="14" hidden="0" customWidth="1"/>
    <x:col min="13" max="13" width="17" hidden="0" customWidth="1"/>
    <x:col min="14" max="14" width="17" hidden="0" customWidth="1"/>
    <x:col min="15" max="15" width="18" hidden="0" customWidth="1"/>
    <x:col min="16" max="16" width="55" hidden="0" customWidth="1"/>
    <x:col min="17" max="17" width="22" hidden="0" customWidth="1"/>
    <x:col min="18" max="18" width="26" hidden="0" customWidth="1"/>
    <x:col min="19" max="19" width="16" hidden="0" customWidth="1"/>
    <x:col min="20" max="20" width="15" hidden="0" customWidth="1"/>
    <x:col min="21" max="21" width="17" hidden="0" customWidth="1"/>
    <x:col min="22" max="22" width="17" hidden="0" customWidth="1"/>
    <x:col min="23" max="23" width="20" hidden="0" customWidth="1"/>
    <x:col min="24" max="24" width="15" hidden="0" customWidth="1"/>
    <x:col min="25" max="25" width="15" hidden="0" customWidth="1"/>
    <x:col min="26" max="26" width="15" hidden="0" customWidth="1"/>
    <x:col min="27" max="27" width="19" hidden="0" customWidth="1"/>
    <x:col min="28" max="28" width="34" hidden="0" customWidth="1"/>
  </x:cols>
  <x:sheetData>
    <x:row r="1" ht="34" customHeight="1">
      <x:c r="A1" s="5" t="str">
        <x:v>Dell Enterprise Risk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</x:row>
    <x:row r="2" ht="28" customHeight="1">
      <x:c r="A2" s="13" t="str">
        <x:v>Synthetic inherent and residual risk assessments with threat, weakness, treatment, framework, ownership, evidence, and review dates.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  <x:c r="R2" s="13"/>
      <x:c r="S2" s="13"/>
      <x:c r="T2" s="13"/>
      <x:c r="U2" s="13"/>
      <x:c r="V2" s="13"/>
      <x:c r="W2" s="13"/>
      <x:c r="X2" s="13"/>
      <x:c r="Y2" s="13"/>
      <x:c r="Z2" s="13"/>
      <x:c r="AA2" s="13"/>
      <x:c r="AB2" s="13"/>
    </x:row>
    <x:row r="4" ht="32" customHeight="1">
      <x:c r="A4" s="30" t="str">
        <x:v>Risk ID</x:v>
      </x:c>
      <x:c r="B4" s="30" t="str">
        <x:v>Risk Title</x:v>
      </x:c>
      <x:c r="C4" s="30" t="str">
        <x:v>Risk Category</x:v>
      </x:c>
      <x:c r="D4" s="30" t="str">
        <x:v>Affected Asset</x:v>
      </x:c>
      <x:c r="E4" s="30" t="str">
        <x:v>Business Unit</x:v>
      </x:c>
      <x:c r="F4" s="30" t="str">
        <x:v>Risk Owner</x:v>
      </x:c>
      <x:c r="G4" s="30" t="str">
        <x:v>Risk Scenario / Description</x:v>
      </x:c>
      <x:c r="H4" s="30" t="str">
        <x:v>Threat Source</x:v>
      </x:c>
      <x:c r="I4" s="30" t="str">
        <x:v>Vulnerability / Weakness</x:v>
      </x:c>
      <x:c r="J4" s="30" t="str">
        <x:v>Impact Area</x:v>
      </x:c>
      <x:c r="K4" s="30" t="str">
        <x:v>Inherent Likelihood</x:v>
      </x:c>
      <x:c r="L4" s="30" t="str">
        <x:v>Inherent Impact</x:v>
      </x:c>
      <x:c r="M4" s="30" t="str">
        <x:v>Inherent Risk Score</x:v>
      </x:c>
      <x:c r="N4" s="30" t="str">
        <x:v>Inherent Risk Level</x:v>
      </x:c>
      <x:c r="O4" s="30" t="str">
        <x:v>Treatment Strategy</x:v>
      </x:c>
      <x:c r="P4" s="30" t="str">
        <x:v>Planned Risk Controls</x:v>
      </x:c>
      <x:c r="Q4" s="30" t="str">
        <x:v>Applicable Framework</x:v>
      </x:c>
      <x:c r="R4" s="30" t="str">
        <x:v>Framework Control Reference</x:v>
      </x:c>
      <x:c r="S4" s="30" t="str">
        <x:v>Residual Likelihood</x:v>
      </x:c>
      <x:c r="T4" s="30" t="str">
        <x:v>Residual Impact</x:v>
      </x:c>
      <x:c r="U4" s="30" t="str">
        <x:v>Residual Risk Score</x:v>
      </x:c>
      <x:c r="V4" s="30" t="str">
        <x:v>Residual Risk Level</x:v>
      </x:c>
      <x:c r="W4" s="30" t="str">
        <x:v>Risk Workflow Status</x:v>
      </x:c>
      <x:c r="X4" s="30" t="str">
        <x:v>Date Identified</x:v>
      </x:c>
      <x:c r="Y4" s="30" t="str">
        <x:v>Last Review Date</x:v>
      </x:c>
      <x:c r="Z4" s="30" t="str">
        <x:v>Next Review Date</x:v>
      </x:c>
      <x:c r="AA4" s="30" t="str">
        <x:v>Evidence ID</x:v>
      </x:c>
      <x:c r="AB4" s="30" t="str">
        <x:v>Additional Notes</x:v>
      </x:c>
    </x:row>
    <x:row r="5">
      <x:c r="A5" s="38" t="str">
        <x:v>RISK-DELL-001</x:v>
      </x:c>
      <x:c r="B5" s="38" t="str">
        <x:v>Unauthorized firmware package signing</x:v>
      </x:c>
      <x:c r="C5" s="38" t="str">
        <x:v>Product Security</x:v>
      </x:c>
      <x:c r="D5" s="38" t="str">
        <x:v>Firmware Signing Service</x:v>
      </x:c>
      <x:c r="E5" s="38" t="str">
        <x:v>Product Security</x:v>
      </x:c>
      <x:c r="F5" s="38" t="str">
        <x:v>Omar</x:v>
      </x:c>
      <x:c r="G5" s="38" t="str">
        <x:v>A compromised privileged identity signs an unauthorized firmware image that appears trusted to downstream systems.</x:v>
      </x:c>
      <x:c r="H5" s="38" t="str">
        <x:v>Malicious insider or credential theft</x:v>
      </x:c>
      <x:c r="I5" s="38" t="str">
        <x:v>Excessive signing permissions</x:v>
      </x:c>
      <x:c r="J5" s="38" t="str">
        <x:v>Integrity, Reputation</x:v>
      </x:c>
      <x:c r="K5" s="38" t="n">
        <x:v>3</x:v>
      </x:c>
      <x:c r="L5" s="38" t="n">
        <x:v>5</x:v>
      </x:c>
      <x:c r="M5" s="38" t="n">
        <x:f>K5*L5</x:f>
        <x:v>15</x:v>
      </x:c>
      <x:c r="N5" s="38" t="str">
        <x:f>IF(M5&gt;=15,"Critical",IF(M5&gt;=10,"High",IF(M5&gt;=5,"Medium","Low")))</x:f>
        <x:v>Critical</x:v>
      </x:c>
      <x:c r="O5" s="38" t="str">
        <x:v>Mitigate</x:v>
      </x:c>
      <x:c r="P5" s="38" t="str">
        <x:v>Privileged approval workflow; hardware-backed keys; signing transparency logs</x:v>
      </x:c>
      <x:c r="Q5" s="38" t="str">
        <x:v>NCA ECC / ISO 27001</x:v>
      </x:c>
      <x:c r="R5" s="38" t="str">
        <x:v>IAM-04 / A.8.24</x:v>
      </x:c>
      <x:c r="S5" s="38" t="n">
        <x:v>2</x:v>
      </x:c>
      <x:c r="T5" s="38" t="n">
        <x:v>3</x:v>
      </x:c>
      <x:c r="U5" s="38" t="n">
        <x:f>S5*T5</x:f>
        <x:v>6</x:v>
      </x:c>
      <x:c r="V5" s="38" t="str">
        <x:f>IF(U5&gt;=15,"Critical",IF(U5&gt;=10,"High",IF(U5&gt;=5,"Medium","Low")))</x:f>
        <x:v>Medium</x:v>
      </x:c>
      <x:c r="W5" s="38" t="str">
        <x:v>In Progress</x:v>
      </x:c>
      <x:c r="X5" s="42" t="n">
        <x:v>46221</x:v>
      </x:c>
      <x:c r="Y5" s="42" t="n">
        <x:v>46233</x:v>
      </x:c>
      <x:c r="Z5" s="42" t="n">
        <x:v>46273</x:v>
      </x:c>
      <x:c r="AA5" s="38" t="str">
        <x:v>EVD-DEL-001</x:v>
      </x:c>
      <x:c r="AB5" s="38" t="str">
        <x:v>Synthetic record for GRCx product testing.</x:v>
      </x:c>
    </x:row>
    <x:row r="6">
      <x:c r="A6" s="38" t="str">
        <x:v>RISK-DELL-002</x:v>
      </x:c>
      <x:c r="B6" s="38" t="str">
        <x:v>Supplier portal account takeover</x:v>
      </x:c>
      <x:c r="C6" s="38" t="str">
        <x:v>Third-Party Risk</x:v>
      </x:c>
      <x:c r="D6" s="38" t="str">
        <x:v>Global Parts Supplier Portal</x:v>
      </x:c>
      <x:c r="E6" s="38" t="str">
        <x:v>Supply Chain</x:v>
      </x:c>
      <x:c r="F6" s="38" t="str">
        <x:v>Noura</x:v>
      </x:c>
      <x:c r="G6" s="38" t="str">
        <x:v>A supplier account is compromised and used to alter shipment or component records.</x:v>
      </x:c>
      <x:c r="H6" s="38" t="str">
        <x:v>Credential phishing</x:v>
      </x:c>
      <x:c r="I6" s="38" t="str">
        <x:v>Weak supplier MFA adoption</x:v>
      </x:c>
      <x:c r="J6" s="38" t="str">
        <x:v>Integrity, Availability</x:v>
      </x:c>
      <x:c r="K6" s="38" t="n">
        <x:v>4</x:v>
      </x:c>
      <x:c r="L6" s="38" t="n">
        <x:v>4</x:v>
      </x:c>
      <x:c r="M6" s="38" t="n">
        <x:f>K6*L6</x:f>
        <x:v>16</x:v>
      </x:c>
      <x:c r="N6" s="38" t="str">
        <x:f>IF(M6&gt;=15,"Critical",IF(M6&gt;=10,"High",IF(M6&gt;=5,"Medium","Low")))</x:f>
        <x:v>Critical</x:v>
      </x:c>
      <x:c r="O6" s="38" t="str">
        <x:v>Mitigate</x:v>
      </x:c>
      <x:c r="P6" s="38" t="str">
        <x:v>Phishing-resistant MFA; supplier access reviews; anomaly detection</x:v>
      </x:c>
      <x:c r="Q6" s="38" t="str">
        <x:v>NCA ECC</x:v>
      </x:c>
      <x:c r="R6" s="38" t="str">
        <x:v>TPRM-04</x:v>
      </x:c>
      <x:c r="S6" s="38" t="n">
        <x:v>2</x:v>
      </x:c>
      <x:c r="T6" s="38" t="n">
        <x:v>3</x:v>
      </x:c>
      <x:c r="U6" s="38" t="n">
        <x:f>S6*T6</x:f>
        <x:v>6</x:v>
      </x:c>
      <x:c r="V6" s="38" t="str">
        <x:f>IF(U6&gt;=15,"Critical",IF(U6&gt;=10,"High",IF(U6&gt;=5,"Medium","Low")))</x:f>
        <x:v>Medium</x:v>
      </x:c>
      <x:c r="W6" s="38" t="str">
        <x:v>Open</x:v>
      </x:c>
      <x:c r="X6" s="42" t="n">
        <x:v>46207</x:v>
      </x:c>
      <x:c r="Y6" s="42" t="n">
        <x:v>46231</x:v>
      </x:c>
      <x:c r="Z6" s="42" t="n">
        <x:v>46281</x:v>
      </x:c>
      <x:c r="AA6" s="38" t="str">
        <x:v>EVD-DEL-002</x:v>
      </x:c>
      <x:c r="AB6" s="38" t="str">
        <x:v>Synthetic record for GRCx product testing.</x:v>
      </x:c>
    </x:row>
    <x:row r="7">
      <x:c r="A7" s="38" t="str">
        <x:v>RISK-DELL-003</x:v>
      </x:c>
      <x:c r="B7" s="38" t="str">
        <x:v>Warranty database data exposure</x:v>
      </x:c>
      <x:c r="C7" s="38" t="str">
        <x:v>Data Protection</x:v>
      </x:c>
      <x:c r="D7" s="38" t="str">
        <x:v>Warranty Claims Database</x:v>
      </x:c>
      <x:c r="E7" s="38" t="str">
        <x:v>Customer Support</x:v>
      </x:c>
      <x:c r="F7" s="38" t="str">
        <x:v>Mariam</x:v>
      </x:c>
      <x:c r="G7" s="38" t="str">
        <x:v>Customer contact, device, and warranty data is exposed through excessive database access.</x:v>
      </x:c>
      <x:c r="H7" s="38" t="str">
        <x:v>Privilege misuse</x:v>
      </x:c>
      <x:c r="I7" s="38" t="str">
        <x:v>Broad database roles</x:v>
      </x:c>
      <x:c r="J7" s="38" t="str">
        <x:v>Confidentiality, Legal</x:v>
      </x:c>
      <x:c r="K7" s="38" t="n">
        <x:v>3</x:v>
      </x:c>
      <x:c r="L7" s="38" t="n">
        <x:v>5</x:v>
      </x:c>
      <x:c r="M7" s="38" t="n">
        <x:f>K7*L7</x:f>
        <x:v>15</x:v>
      </x:c>
      <x:c r="N7" s="38" t="str">
        <x:f>IF(M7&gt;=15,"Critical",IF(M7&gt;=10,"High",IF(M7&gt;=5,"Medium","Low")))</x:f>
        <x:v>Critical</x:v>
      </x:c>
      <x:c r="O7" s="38" t="str">
        <x:v>Mitigate</x:v>
      </x:c>
      <x:c r="P7" s="38" t="str">
        <x:v>Role redesign; encryption; query monitoring; quarterly recertification</x:v>
      </x:c>
      <x:c r="Q7" s="38" t="str">
        <x:v>PDPL / ISO 27001</x:v>
      </x:c>
      <x:c r="R7" s="38" t="str">
        <x:v>DP-03 / A.5.15</x:v>
      </x:c>
      <x:c r="S7" s="38" t="n">
        <x:v>2</x:v>
      </x:c>
      <x:c r="T7" s="38" t="n">
        <x:v>3</x:v>
      </x:c>
      <x:c r="U7" s="38" t="n">
        <x:f>S7*T7</x:f>
        <x:v>6</x:v>
      </x:c>
      <x:c r="V7" s="38" t="str">
        <x:f>IF(U7&gt;=15,"Critical",IF(U7&gt;=10,"High",IF(U7&gt;=5,"Medium","Low")))</x:f>
        <x:v>Medium</x:v>
      </x:c>
      <x:c r="W7" s="38" t="str">
        <x:v>Pending Evidence</x:v>
      </x:c>
      <x:c r="X7" s="42" t="n">
        <x:v>46193</x:v>
      </x:c>
      <x:c r="Y7" s="42" t="n">
        <x:v>46229</x:v>
      </x:c>
      <x:c r="Z7" s="42" t="n">
        <x:v>46289</x:v>
      </x:c>
      <x:c r="AA7" s="38" t="str">
        <x:v>EVD-DEL-003</x:v>
      </x:c>
      <x:c r="AB7" s="38" t="str">
        <x:v>Synthetic record for GRCx product testing.</x:v>
      </x:c>
    </x:row>
    <x:row r="8">
      <x:c r="A8" s="38" t="str">
        <x:v>RISK-DELL-004</x:v>
      </x:c>
      <x:c r="B8" s="38" t="str">
        <x:v>Malicious update repository modification</x:v>
      </x:c>
      <x:c r="C8" s="38" t="str">
        <x:v>Software Supply Chain</x:v>
      </x:c>
      <x:c r="D8" s="38" t="str">
        <x:v>Endpoint Update Repository</x:v>
      </x:c>
      <x:c r="E8" s="38" t="str">
        <x:v>Product Security</x:v>
      </x:c>
      <x:c r="F8" s="38" t="str">
        <x:v>Ahmed</x:v>
      </x:c>
      <x:c r="G8" s="38" t="str">
        <x:v>A software package or metadata file is modified before distribution to managed endpoints.</x:v>
      </x:c>
      <x:c r="H8" s="38" t="str">
        <x:v>External attacker</x:v>
      </x:c>
      <x:c r="I8" s="38" t="str">
        <x:v>Insufficient artifact integrity validation</x:v>
      </x:c>
      <x:c r="J8" s="38" t="str">
        <x:v>Integrity, Operations</x:v>
      </x:c>
      <x:c r="K8" s="38" t="n">
        <x:v>3</x:v>
      </x:c>
      <x:c r="L8" s="38" t="n">
        <x:v>5</x:v>
      </x:c>
      <x:c r="M8" s="38" t="n">
        <x:f>K8*L8</x:f>
        <x:v>15</x:v>
      </x:c>
      <x:c r="N8" s="38" t="str">
        <x:f>IF(M8&gt;=15,"Critical",IF(M8&gt;=10,"High",IF(M8&gt;=5,"Medium","Low")))</x:f>
        <x:v>Critical</x:v>
      </x:c>
      <x:c r="O8" s="38" t="str">
        <x:v>Mitigate</x:v>
      </x:c>
      <x:c r="P8" s="38" t="str">
        <x:v>Artifact signing; immutable storage; build attestation; hash verification</x:v>
      </x:c>
      <x:c r="Q8" s="38" t="str">
        <x:v>ISO 27001</x:v>
      </x:c>
      <x:c r="R8" s="38" t="str">
        <x:v>A.8.25</x:v>
      </x:c>
      <x:c r="S8" s="38" t="n">
        <x:v>2</x:v>
      </x:c>
      <x:c r="T8" s="38" t="n">
        <x:v>2</x:v>
      </x:c>
      <x:c r="U8" s="38" t="n">
        <x:f>S8*T8</x:f>
        <x:v>4</x:v>
      </x:c>
      <x:c r="V8" s="38" t="str">
        <x:f>IF(U8&gt;=15,"Critical",IF(U8&gt;=10,"High",IF(U8&gt;=5,"Medium","Low")))</x:f>
        <x:v>Low</x:v>
      </x:c>
      <x:c r="W8" s="38" t="str">
        <x:v>Open</x:v>
      </x:c>
      <x:c r="X8" s="42" t="n">
        <x:v>46179</x:v>
      </x:c>
      <x:c r="Y8" s="42" t="n">
        <x:v>46227</x:v>
      </x:c>
      <x:c r="Z8" s="42" t="n">
        <x:v>46297</x:v>
      </x:c>
      <x:c r="AA8" s="38" t="str">
        <x:v>EVD-DEL-004</x:v>
      </x:c>
      <x:c r="AB8" s="38" t="str">
        <x:v>Synthetic record for GRCx product testing.</x:v>
      </x:c>
    </x:row>
    <x:row r="9">
      <x:c r="A9" s="38" t="str">
        <x:v>RISK-DELL-005</x:v>
      </x:c>
      <x:c r="B9" s="38" t="str">
        <x:v>Device management regional outage</x:v>
      </x:c>
      <x:c r="C9" s="38" t="str">
        <x:v>Business Continuity</x:v>
      </x:c>
      <x:c r="D9" s="38" t="str">
        <x:v>Device Management Cloud</x:v>
      </x:c>
      <x:c r="E9" s="38" t="str">
        <x:v>Cloud Operations</x:v>
      </x:c>
      <x:c r="F9" s="38" t="str">
        <x:v>Lina</x:v>
      </x:c>
      <x:c r="G9" s="38" t="str">
        <x:v>A regional cloud disruption prevents administrators from managing enterprise devices.</x:v>
      </x:c>
      <x:c r="H9" s="38" t="str">
        <x:v>Cloud service outage</x:v>
      </x:c>
      <x:c r="I9" s="38" t="str">
        <x:v>Insufficient regional failover testing</x:v>
      </x:c>
      <x:c r="J9" s="38" t="str">
        <x:v>Availability, Operations</x:v>
      </x:c>
      <x:c r="K9" s="38" t="n">
        <x:v>3</x:v>
      </x:c>
      <x:c r="L9" s="38" t="n">
        <x:v>5</x:v>
      </x:c>
      <x:c r="M9" s="38" t="n">
        <x:f>K9*L9</x:f>
        <x:v>15</x:v>
      </x:c>
      <x:c r="N9" s="38" t="str">
        <x:f>IF(M9&gt;=15,"Critical",IF(M9&gt;=10,"High",IF(M9&gt;=5,"Medium","Low")))</x:f>
        <x:v>Critical</x:v>
      </x:c>
      <x:c r="O9" s="38" t="str">
        <x:v>Mitigate</x:v>
      </x:c>
      <x:c r="P9" s="38" t="str">
        <x:v>Cross-region failover; queued commands; quarterly DR exercise</x:v>
      </x:c>
      <x:c r="Q9" s="38" t="str">
        <x:v>ISO 22301</x:v>
      </x:c>
      <x:c r="R9" s="38" t="str">
        <x:v>BCM-06</x:v>
      </x:c>
      <x:c r="S9" s="38" t="n">
        <x:v>2</x:v>
      </x:c>
      <x:c r="T9" s="38" t="n">
        <x:v>3</x:v>
      </x:c>
      <x:c r="U9" s="38" t="n">
        <x:f>S9*T9</x:f>
        <x:v>6</x:v>
      </x:c>
      <x:c r="V9" s="38" t="str">
        <x:f>IF(U9&gt;=15,"Critical",IF(U9&gt;=10,"High",IF(U9&gt;=5,"Medium","Low")))</x:f>
        <x:v>Medium</x:v>
      </x:c>
      <x:c r="W9" s="38" t="str">
        <x:v>In Progress</x:v>
      </x:c>
      <x:c r="X9" s="42" t="n">
        <x:v>46165</x:v>
      </x:c>
      <x:c r="Y9" s="42" t="n">
        <x:v>46225</x:v>
      </x:c>
      <x:c r="Z9" s="42" t="n">
        <x:v>46305</x:v>
      </x:c>
      <x:c r="AA9" s="38" t="str">
        <x:v>EVD-DEL-005</x:v>
      </x:c>
      <x:c r="AB9" s="38" t="str">
        <x:v>Synthetic record for GRCx product testing.</x:v>
      </x:c>
    </x:row>
    <x:row r="10">
      <x:c r="A10" s="38" t="str">
        <x:v>RISK-DELL-006</x:v>
      </x:c>
      <x:c r="B10" s="38" t="str">
        <x:v>Support CRM session hijacking</x:v>
      </x:c>
      <x:c r="C10" s="38" t="str">
        <x:v>Identity and Access</x:v>
      </x:c>
      <x:c r="D10" s="38" t="str">
        <x:v>Customer Support CRM</x:v>
      </x:c>
      <x:c r="E10" s="38" t="str">
        <x:v>Customer Support</x:v>
      </x:c>
      <x:c r="F10" s="38" t="str">
        <x:v>Fahad</x:v>
      </x:c>
      <x:c r="G10" s="38" t="str">
        <x:v>A support agent session is hijacked and used to access customer cases.</x:v>
      </x:c>
      <x:c r="H10" s="38" t="str">
        <x:v>Session theft</x:v>
      </x:c>
      <x:c r="I10" s="38" t="str">
        <x:v>Long session duration</x:v>
      </x:c>
      <x:c r="J10" s="38" t="str">
        <x:v>Confidentiality, Reputation</x:v>
      </x:c>
      <x:c r="K10" s="38" t="n">
        <x:v>3</x:v>
      </x:c>
      <x:c r="L10" s="38" t="n">
        <x:v>4</x:v>
      </x:c>
      <x:c r="M10" s="38" t="n">
        <x:f>K10*L10</x:f>
        <x:v>12</x:v>
      </x:c>
      <x:c r="N10" s="38" t="str">
        <x:f>IF(M10&gt;=15,"Critical",IF(M10&gt;=10,"High",IF(M10&gt;=5,"Medium","Low")))</x:f>
        <x:v>High</x:v>
      </x:c>
      <x:c r="O10" s="38" t="str">
        <x:v>Mitigate</x:v>
      </x:c>
      <x:c r="P10" s="38" t="str">
        <x:v>Short session lifetime; device trust; behavioral monitoring</x:v>
      </x:c>
      <x:c r="Q10" s="38" t="str">
        <x:v>NCA ECC</x:v>
      </x:c>
      <x:c r="R10" s="38" t="str">
        <x:v>IAM-05</x:v>
      </x:c>
      <x:c r="S10" s="38" t="n">
        <x:v>2</x:v>
      </x:c>
      <x:c r="T10" s="38" t="n">
        <x:v>2</x:v>
      </x:c>
      <x:c r="U10" s="38" t="n">
        <x:f>S10*T10</x:f>
        <x:v>4</x:v>
      </x:c>
      <x:c r="V10" s="38" t="str">
        <x:f>IF(U10&gt;=15,"Critical",IF(U10&gt;=10,"High",IF(U10&gt;=5,"Medium","Low")))</x:f>
        <x:v>Low</x:v>
      </x:c>
      <x:c r="W10" s="38" t="str">
        <x:v>Open</x:v>
      </x:c>
      <x:c r="X10" s="42" t="n">
        <x:v>46151</x:v>
      </x:c>
      <x:c r="Y10" s="42" t="n">
        <x:v>46223</x:v>
      </x:c>
      <x:c r="Z10" s="42" t="n">
        <x:v>46313</x:v>
      </x:c>
      <x:c r="AA10" s="38" t="str">
        <x:v>EVD-DEL-006</x:v>
      </x:c>
      <x:c r="AB10" s="38" t="str">
        <x:v>Synthetic record for GRCx product testing.</x:v>
      </x:c>
    </x:row>
    <x:row r="11">
      <x:c r="A11" s="38" t="str">
        <x:v>RISK-DELL-007</x:v>
      </x:c>
      <x:c r="B11" s="38" t="str">
        <x:v>Identity tenant privilege accumulation</x:v>
      </x:c>
      <x:c r="C11" s="38" t="str">
        <x:v>Identity Governance</x:v>
      </x:c>
      <x:c r="D11" s="38" t="str">
        <x:v>Enterprise Identity Tenant</x:v>
      </x:c>
      <x:c r="E11" s="38" t="str">
        <x:v>Enterprise IT</x:v>
      </x:c>
      <x:c r="F11" s="38" t="str">
        <x:v>Sara</x:v>
      </x:c>
      <x:c r="G11" s="38" t="str">
        <x:v>Temporary administrative roles remain assigned beyond approved periods.</x:v>
      </x:c>
      <x:c r="H11" s="38" t="str">
        <x:v>Process failure</x:v>
      </x:c>
      <x:c r="I11" s="38" t="str">
        <x:v>Missing automatic expiry</x:v>
      </x:c>
      <x:c r="J11" s="38" t="str">
        <x:v>Confidentiality, Integrity</x:v>
      </x:c>
      <x:c r="K11" s="38" t="n">
        <x:v>4</x:v>
      </x:c>
      <x:c r="L11" s="38" t="n">
        <x:v>4</x:v>
      </x:c>
      <x:c r="M11" s="38" t="n">
        <x:f>K11*L11</x:f>
        <x:v>16</x:v>
      </x:c>
      <x:c r="N11" s="38" t="str">
        <x:f>IF(M11&gt;=15,"Critical",IF(M11&gt;=10,"High",IF(M11&gt;=5,"Medium","Low")))</x:f>
        <x:v>Critical</x:v>
      </x:c>
      <x:c r="O11" s="38" t="str">
        <x:v>Mitigate</x:v>
      </x:c>
      <x:c r="P11" s="38" t="str">
        <x:v>JIT access; mandatory expiry; entitlement KPI; monthly review</x:v>
      </x:c>
      <x:c r="Q11" s="38" t="str">
        <x:v>NCA ECC</x:v>
      </x:c>
      <x:c r="R11" s="38" t="str">
        <x:v>IAM-04</x:v>
      </x:c>
      <x:c r="S11" s="38" t="n">
        <x:v>2</x:v>
      </x:c>
      <x:c r="T11" s="38" t="n">
        <x:v>3</x:v>
      </x:c>
      <x:c r="U11" s="38" t="n">
        <x:f>S11*T11</x:f>
        <x:v>6</x:v>
      </x:c>
      <x:c r="V11" s="38" t="str">
        <x:f>IF(U11&gt;=15,"Critical",IF(U11&gt;=10,"High",IF(U11&gt;=5,"Medium","Low")))</x:f>
        <x:v>Medium</x:v>
      </x:c>
      <x:c r="W11" s="38" t="str">
        <x:v>In Progress</x:v>
      </x:c>
      <x:c r="X11" s="42" t="n">
        <x:v>46137</x:v>
      </x:c>
      <x:c r="Y11" s="42" t="n">
        <x:v>46221</x:v>
      </x:c>
      <x:c r="Z11" s="42" t="n">
        <x:v>46321</x:v>
      </x:c>
      <x:c r="AA11" s="38" t="str">
        <x:v>EVD-DEL-007</x:v>
      </x:c>
      <x:c r="AB11" s="38" t="str">
        <x:v>Synthetic record for GRCx product testing.</x:v>
      </x:c>
    </x:row>
    <x:row r="12">
      <x:c r="A12" s="38" t="str">
        <x:v>RISK-DELL-008</x:v>
      </x:c>
      <x:c r="B12" s="38" t="str">
        <x:v>Counterfeit component entry</x:v>
      </x:c>
      <x:c r="C12" s="38" t="str">
        <x:v>Supply Chain</x:v>
      </x:c>
      <x:c r="D12" s="38" t="str">
        <x:v>Global Parts Supplier Portal</x:v>
      </x:c>
      <x:c r="E12" s="38" t="str">
        <x:v>Supply Chain</x:v>
      </x:c>
      <x:c r="F12" s="38" t="str">
        <x:v>Reem</x:v>
      </x:c>
      <x:c r="G12" s="38" t="str">
        <x:v>A counterfeit or non-conforming component enters the approved supply chain.</x:v>
      </x:c>
      <x:c r="H12" s="38" t="str">
        <x:v>Fraudulent supplier</x:v>
      </x:c>
      <x:c r="I12" s="38" t="str">
        <x:v>Weak component provenance checks</x:v>
      </x:c>
      <x:c r="J12" s="38" t="str">
        <x:v>Quality, Reputation</x:v>
      </x:c>
      <x:c r="K12" s="38" t="n">
        <x:v>3</x:v>
      </x:c>
      <x:c r="L12" s="38" t="n">
        <x:v>5</x:v>
      </x:c>
      <x:c r="M12" s="38" t="n">
        <x:f>K12*L12</x:f>
        <x:v>15</x:v>
      </x:c>
      <x:c r="N12" s="38" t="str">
        <x:f>IF(M12&gt;=15,"Critical",IF(M12&gt;=10,"High",IF(M12&gt;=5,"Medium","Low")))</x:f>
        <x:v>Critical</x:v>
      </x:c>
      <x:c r="O12" s="38" t="str">
        <x:v>Transfer</x:v>
      </x:c>
      <x:c r="P12" s="38" t="str">
        <x:v>Supplier assurance; serial provenance; inspection sampling; contract clauses</x:v>
      </x:c>
      <x:c r="Q12" s="38" t="str">
        <x:v>NCA ECC</x:v>
      </x:c>
      <x:c r="R12" s="38" t="str">
        <x:v>TPRM-06</x:v>
      </x:c>
      <x:c r="S12" s="38" t="n">
        <x:v>2</x:v>
      </x:c>
      <x:c r="T12" s="38" t="n">
        <x:v>3</x:v>
      </x:c>
      <x:c r="U12" s="38" t="n">
        <x:f>S12*T12</x:f>
        <x:v>6</x:v>
      </x:c>
      <x:c r="V12" s="38" t="str">
        <x:f>IF(U12&gt;=15,"Critical",IF(U12&gt;=10,"High",IF(U12&gt;=5,"Medium","Low")))</x:f>
        <x:v>Medium</x:v>
      </x:c>
      <x:c r="W12" s="38" t="str">
        <x:v>Open</x:v>
      </x:c>
      <x:c r="X12" s="42" t="n">
        <x:v>46123</x:v>
      </x:c>
      <x:c r="Y12" s="42" t="n">
        <x:v>46219</x:v>
      </x:c>
      <x:c r="Z12" s="42" t="n">
        <x:v>46329</x:v>
      </x:c>
      <x:c r="AA12" s="38" t="str">
        <x:v>EVD-DEL-008</x:v>
      </x:c>
      <x:c r="AB12" s="38" t="str">
        <x:v>Synthetic record for GRCx product testing.</x:v>
      </x:c>
    </x:row>
    <x:row r="13">
      <x:c r="A13" s="38" t="str">
        <x:v>RISK-DELL-009</x:v>
      </x:c>
      <x:c r="B13" s="38" t="str">
        <x:v>Recovery automation credential failure</x:v>
      </x:c>
      <x:c r="C13" s="38" t="str">
        <x:v>Disaster Recovery</x:v>
      </x:c>
      <x:c r="D13" s="38" t="str">
        <x:v>Recovery Orchestration Platform</x:v>
      </x:c>
      <x:c r="E13" s="38" t="str">
        <x:v>Business Continuity</x:v>
      </x:c>
      <x:c r="F13" s="38" t="str">
        <x:v>Khalid</x:v>
      </x:c>
      <x:c r="G13" s="38" t="str">
        <x:v>Expired recovery credentials prevent automated service restoration during a disaster.</x:v>
      </x:c>
      <x:c r="H13" s="38" t="str">
        <x:v>Configuration failure</x:v>
      </x:c>
      <x:c r="I13" s="38" t="str">
        <x:v>Credential rotation not tested in DR</x:v>
      </x:c>
      <x:c r="J13" s="38" t="str">
        <x:v>Availability, Operations</x:v>
      </x:c>
      <x:c r="K13" s="38" t="n">
        <x:v>3</x:v>
      </x:c>
      <x:c r="L13" s="38" t="n">
        <x:v>5</x:v>
      </x:c>
      <x:c r="M13" s="38" t="n">
        <x:f>K13*L13</x:f>
        <x:v>15</x:v>
      </x:c>
      <x:c r="N13" s="38" t="str">
        <x:f>IF(M13&gt;=15,"Critical",IF(M13&gt;=10,"High",IF(M13&gt;=5,"Medium","Low")))</x:f>
        <x:v>Critical</x:v>
      </x:c>
      <x:c r="O13" s="38" t="str">
        <x:v>Mitigate</x:v>
      </x:c>
      <x:c r="P13" s="38" t="str">
        <x:v>DR credential vault; pre-test validation; break-glass workflow</x:v>
      </x:c>
      <x:c r="Q13" s="38" t="str">
        <x:v>ISO 22301</x:v>
      </x:c>
      <x:c r="R13" s="38" t="str">
        <x:v>DR-05</x:v>
      </x:c>
      <x:c r="S13" s="38" t="n">
        <x:v>2</x:v>
      </x:c>
      <x:c r="T13" s="38" t="n">
        <x:v>2</x:v>
      </x:c>
      <x:c r="U13" s="38" t="n">
        <x:f>S13*T13</x:f>
        <x:v>4</x:v>
      </x:c>
      <x:c r="V13" s="38" t="str">
        <x:f>IF(U13&gt;=15,"Critical",IF(U13&gt;=10,"High",IF(U13&gt;=5,"Medium","Low")))</x:f>
        <x:v>Low</x:v>
      </x:c>
      <x:c r="W13" s="38" t="str">
        <x:v>Open</x:v>
      </x:c>
      <x:c r="X13" s="42" t="n">
        <x:v>46109</x:v>
      </x:c>
      <x:c r="Y13" s="42" t="n">
        <x:v>46217</x:v>
      </x:c>
      <x:c r="Z13" s="42" t="n">
        <x:v>46337</x:v>
      </x:c>
      <x:c r="AA13" s="38" t="str">
        <x:v>EVD-DEL-009</x:v>
      </x:c>
      <x:c r="AB13" s="38" t="str">
        <x:v>Synthetic record for GRCx product testing.</x:v>
      </x:c>
    </x:row>
    <x:row r="14">
      <x:c r="A14" s="38" t="str">
        <x:v>RISK-DELL-010</x:v>
      </x:c>
      <x:c r="B14" s="38" t="str">
        <x:v>Customer case retention non-compliance</x:v>
      </x:c>
      <x:c r="C14" s="38" t="str">
        <x:v>Compliance</x:v>
      </x:c>
      <x:c r="D14" s="38" t="str">
        <x:v>Customer Support CRM</x:v>
      </x:c>
      <x:c r="E14" s="38" t="str">
        <x:v>GRC</x:v>
      </x:c>
      <x:c r="F14" s="38" t="str">
        <x:v>Huda</x:v>
      </x:c>
      <x:c r="G14" s="38" t="str">
        <x:v>Support records are retained longer than approved legal and privacy schedules.</x:v>
      </x:c>
      <x:c r="H14" s="38" t="str">
        <x:v>Process drift</x:v>
      </x:c>
      <x:c r="I14" s="38" t="str">
        <x:v>Inconsistent retention rules</x:v>
      </x:c>
      <x:c r="J14" s="38" t="str">
        <x:v>Legal, Privacy</x:v>
      </x:c>
      <x:c r="K14" s="38" t="n">
        <x:v>3</x:v>
      </x:c>
      <x:c r="L14" s="38" t="n">
        <x:v>4</x:v>
      </x:c>
      <x:c r="M14" s="38" t="n">
        <x:f>K14*L14</x:f>
        <x:v>12</x:v>
      </x:c>
      <x:c r="N14" s="38" t="str">
        <x:f>IF(M14&gt;=15,"Critical",IF(M14&gt;=10,"High",IF(M14&gt;=5,"Medium","Low")))</x:f>
        <x:v>High</x:v>
      </x:c>
      <x:c r="O14" s="38" t="str">
        <x:v>Mitigate</x:v>
      </x:c>
      <x:c r="P14" s="38" t="str">
        <x:v>Retention matrix; automated deletion; legal hold controls</x:v>
      </x:c>
      <x:c r="Q14" s="38" t="str">
        <x:v>PDPL</x:v>
      </x:c>
      <x:c r="R14" s="38" t="str">
        <x:v>CMP-09</x:v>
      </x:c>
      <x:c r="S14" s="38" t="n">
        <x:v>2</x:v>
      </x:c>
      <x:c r="T14" s="38" t="n">
        <x:v>2</x:v>
      </x:c>
      <x:c r="U14" s="38" t="n">
        <x:f>S14*T14</x:f>
        <x:v>4</x:v>
      </x:c>
      <x:c r="V14" s="38" t="str">
        <x:f>IF(U14&gt;=15,"Critical",IF(U14&gt;=10,"High",IF(U14&gt;=5,"Medium","Low")))</x:f>
        <x:v>Low</x:v>
      </x:c>
      <x:c r="W14" s="38" t="str">
        <x:v>Pending Approval</x:v>
      </x:c>
      <x:c r="X14" s="42" t="n">
        <x:v>46095</x:v>
      </x:c>
      <x:c r="Y14" s="42" t="n">
        <x:v>46215</x:v>
      </x:c>
      <x:c r="Z14" s="42" t="n">
        <x:v>46345</x:v>
      </x:c>
      <x:c r="AA14" s="38" t="str">
        <x:v>EVD-DEL-010</x:v>
      </x:c>
      <x:c r="AB14" s="38" t="str">
        <x:v>Synthetic record for GRCx product testing.</x:v>
      </x:c>
    </x:row>
    <x:row r="15">
      <x:c r="A15" s="38" t="str">
        <x:v>RISK-DELL-011</x:v>
      </x:c>
      <x:c r="B15" s="38" t="str">
        <x:v>Telemetry API token leakage</x:v>
      </x:c>
      <x:c r="C15" s="38" t="str">
        <x:v>API Security</x:v>
      </x:c>
      <x:c r="D15" s="38" t="str">
        <x:v>Device Management Cloud</x:v>
      </x:c>
      <x:c r="E15" s="38" t="str">
        <x:v>Cloud Operations</x:v>
      </x:c>
      <x:c r="F15" s="38" t="str">
        <x:v>Bader</x:v>
      </x:c>
      <x:c r="G15" s="38" t="str">
        <x:v>A telemetry API token is exposed in source code or diagnostic logs.</x:v>
      </x:c>
      <x:c r="H15" s="38" t="str">
        <x:v>Developer error</x:v>
      </x:c>
      <x:c r="I15" s="38" t="str">
        <x:v>Secrets embedded in automation</x:v>
      </x:c>
      <x:c r="J15" s="38" t="str">
        <x:v>Confidentiality, Integrity</x:v>
      </x:c>
      <x:c r="K15" s="38" t="n">
        <x:v>3</x:v>
      </x:c>
      <x:c r="L15" s="38" t="n">
        <x:v>4</x:v>
      </x:c>
      <x:c r="M15" s="38" t="n">
        <x:f>K15*L15</x:f>
        <x:v>12</x:v>
      </x:c>
      <x:c r="N15" s="38" t="str">
        <x:f>IF(M15&gt;=15,"Critical",IF(M15&gt;=10,"High",IF(M15&gt;=5,"Medium","Low")))</x:f>
        <x:v>High</x:v>
      </x:c>
      <x:c r="O15" s="38" t="str">
        <x:v>Mitigate</x:v>
      </x:c>
      <x:c r="P15" s="38" t="str">
        <x:v>Secret scanning; managed identity; rotation; scoped permissions</x:v>
      </x:c>
      <x:c r="Q15" s="38" t="str">
        <x:v>ISO 27001</x:v>
      </x:c>
      <x:c r="R15" s="38" t="str">
        <x:v>A.8.5</x:v>
      </x:c>
      <x:c r="S15" s="38" t="n">
        <x:v>2</x:v>
      </x:c>
      <x:c r="T15" s="38" t="n">
        <x:v>2</x:v>
      </x:c>
      <x:c r="U15" s="38" t="n">
        <x:f>S15*T15</x:f>
        <x:v>4</x:v>
      </x:c>
      <x:c r="V15" s="38" t="str">
        <x:f>IF(U15&gt;=15,"Critical",IF(U15&gt;=10,"High",IF(U15&gt;=5,"Medium","Low")))</x:f>
        <x:v>Low</x:v>
      </x:c>
      <x:c r="W15" s="38" t="str">
        <x:v>Open</x:v>
      </x:c>
      <x:c r="X15" s="42" t="n">
        <x:v>46081</x:v>
      </x:c>
      <x:c r="Y15" s="42" t="n">
        <x:v>46213</x:v>
      </x:c>
      <x:c r="Z15" s="42" t="n">
        <x:v>46353</x:v>
      </x:c>
      <x:c r="AA15" s="38" t="str">
        <x:v>EVD-DEL-011</x:v>
      </x:c>
      <x:c r="AB15" s="38" t="str">
        <x:v>Synthetic record for GRCx product testing.</x:v>
      </x:c>
    </x:row>
    <x:row r="16">
      <x:c r="A16" s="38" t="str">
        <x:v>RISK-DELL-012</x:v>
      </x:c>
      <x:c r="B16" s="38" t="str">
        <x:v>Critical supplier concentration</x:v>
      </x:c>
      <x:c r="C16" s="38" t="str">
        <x:v>Operational Risk</x:v>
      </x:c>
      <x:c r="D16" s="38" t="str">
        <x:v>Global Parts Supplier Portal</x:v>
      </x:c>
      <x:c r="E16" s="38" t="str">
        <x:v>Supply Chain</x:v>
      </x:c>
      <x:c r="F16" s="38" t="str">
        <x:v>Abeer</x:v>
      </x:c>
      <x:c r="G16" s="38" t="str">
        <x:v>A single supplier supports a critical component with no qualified alternative.</x:v>
      </x:c>
      <x:c r="H16" s="38" t="str">
        <x:v>Market disruption</x:v>
      </x:c>
      <x:c r="I16" s="38" t="str">
        <x:v>Limited supplier diversity</x:v>
      </x:c>
      <x:c r="J16" s="38" t="str">
        <x:v>Availability, Financial</x:v>
      </x:c>
      <x:c r="K16" s="38" t="n">
        <x:v>4</x:v>
      </x:c>
      <x:c r="L16" s="38" t="n">
        <x:v>4</x:v>
      </x:c>
      <x:c r="M16" s="38" t="n">
        <x:f>K16*L16</x:f>
        <x:v>16</x:v>
      </x:c>
      <x:c r="N16" s="38" t="str">
        <x:f>IF(M16&gt;=15,"Critical",IF(M16&gt;=10,"High",IF(M16&gt;=5,"Medium","Low")))</x:f>
        <x:v>Critical</x:v>
      </x:c>
      <x:c r="O16" s="38" t="str">
        <x:v>Transfer</x:v>
      </x:c>
      <x:c r="P16" s="38" t="str">
        <x:v>Dual sourcing; safety stock; continuity clauses; supplier BCP reviews</x:v>
      </x:c>
      <x:c r="Q16" s="38" t="str">
        <x:v>ISO 22301</x:v>
      </x:c>
      <x:c r="R16" s="38" t="str">
        <x:v>BCM-04</x:v>
      </x:c>
      <x:c r="S16" s="38" t="n">
        <x:v>3</x:v>
      </x:c>
      <x:c r="T16" s="38" t="n">
        <x:v>3</x:v>
      </x:c>
      <x:c r="U16" s="38" t="n">
        <x:f>S16*T16</x:f>
        <x:v>9</x:v>
      </x:c>
      <x:c r="V16" s="38" t="str">
        <x:f>IF(U16&gt;=15,"Critical",IF(U16&gt;=10,"High",IF(U16&gt;=5,"Medium","Low")))</x:f>
        <x:v>Medium</x:v>
      </x:c>
      <x:c r="W16" s="38" t="str">
        <x:v>Accepted</x:v>
      </x:c>
      <x:c r="X16" s="42" t="n">
        <x:v>46067</x:v>
      </x:c>
      <x:c r="Y16" s="42" t="n">
        <x:v>46211</x:v>
      </x:c>
      <x:c r="Z16" s="42" t="n">
        <x:v>46361</x:v>
      </x:c>
      <x:c r="AA16" s="38" t="str">
        <x:v>EVD-DEL-012</x:v>
      </x:c>
      <x:c r="AB16" s="38" t="str">
        <x:v>Synthetic record for GRCx product testing.</x:v>
      </x:c>
    </x:row>
  </x:sheetData>
  <x:mergeCells>
    <x:mergeCell ref="A1:AB1"/>
    <x:mergeCell ref="A2:AB2"/>
  </x:mergeCells>
  <x:conditionalFormatting sqref="A5:AB16">
    <x:cfRule type="expression" dxfId="4" priority="1">
      <x:formula>MOD(ROW(),2)=0</x:formula>
    </x:cfRule>
  </x:conditionalFormatting>
  <x:conditionalFormatting sqref="N5:N16">
    <x:cfRule type="expression" dxfId="5" priority="2">
      <x:formula>$N5="Critical"</x:formula>
    </x:cfRule>
    <x:cfRule type="expression" dxfId="6" priority="3">
      <x:formula>$N5="High"</x:formula>
    </x:cfRule>
    <x:cfRule type="expression" dxfId="7" priority="4">
      <x:formula>$N5="Medium"</x:formula>
    </x:cfRule>
    <x:cfRule type="expression" dxfId="8" priority="5">
      <x:formula>$N5="Low"</x:formula>
    </x:cfRule>
  </x:conditionalFormatting>
  <x:conditionalFormatting sqref="V5:V16">
    <x:cfRule type="expression" dxfId="9" priority="6">
      <x:formula>$V5="Critical"</x:formula>
    </x:cfRule>
    <x:cfRule type="expression" dxfId="10" priority="7">
      <x:formula>$V5="High"</x:formula>
    </x:cfRule>
    <x:cfRule type="expression" dxfId="11" priority="8">
      <x:formula>$V5="Medium"</x:formula>
    </x:cfRule>
    <x:cfRule type="expression" dxfId="12" priority="9">
      <x:formula>$V5="Low"</x:formula>
    </x:cfRule>
  </x:conditionalFormatting>
  <x:dataValidations count="4">
    <x:dataValidation type="whole" operator="between" sqref="K5:L16">
      <x:formula1>1</x:formula1>
      <x:formula2>5</x:formula2>
    </x:dataValidation>
    <x:dataValidation type="whole" operator="between" sqref="S5:T16">
      <x:formula1>1</x:formula1>
      <x:formula2>5</x:formula2>
    </x:dataValidation>
    <x:dataValidation type="list" sqref="O5:O16">
      <x:formula1>"Mitigate,Transfer,Avoid,Accept"</x:formula1>
    </x:dataValidation>
    <x:dataValidation type="list" sqref="W5:W16">
      <x:formula1>"Open,In Progress,Pending Evidence,Pending Approval,Accepted,Closed"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a655c128ab34b75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17" hidden="0" customWidth="1"/>
    <x:col min="3" max="3" width="18" hidden="0" customWidth="1"/>
    <x:col min="4" max="4" width="44" hidden="0" customWidth="1"/>
    <x:col min="5" max="5" width="17" hidden="0" customWidth="1"/>
    <x:col min="6" max="6" width="13" hidden="0" customWidth="1"/>
    <x:col min="7" max="7" width="16" hidden="0" customWidth="1"/>
    <x:col min="8" max="8" width="18" hidden="0" customWidth="1"/>
    <x:col min="9" max="9" width="23" hidden="0" customWidth="1"/>
    <x:col min="10" max="10" width="23" hidden="0" customWidth="1"/>
    <x:col min="11" max="11" width="20" hidden="0" customWidth="1"/>
    <x:col min="12" max="12" width="18" hidden="0" customWidth="1"/>
    <x:col min="13" max="13" width="31" hidden="0" customWidth="1"/>
    <x:col min="14" max="14" width="42" hidden="0" customWidth="1"/>
    <x:col min="15" max="15" width="16" hidden="0" customWidth="1"/>
  </x:cols>
  <x:sheetData>
    <x:row r="1" ht="34" customHeight="1">
      <x:c r="A1" s="5" t="str">
        <x:v>Dell Risk Treatment Plans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</x:row>
    <x:row r="2" ht="28" customHeight="1">
      <x:c r="A2" s="13" t="str">
        <x:v>Synthetic treatment ownership, cost, due dates, progress, dependencies, and evidence requirements.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</x:row>
    <x:row r="4" ht="32" customHeight="1">
      <x:c r="A4" s="30" t="str">
        <x:v>Treatment ID</x:v>
      </x:c>
      <x:c r="B4" s="30" t="str">
        <x:v>Risk ID</x:v>
      </x:c>
      <x:c r="C4" s="30" t="str">
        <x:v>Treatment Type</x:v>
      </x:c>
      <x:c r="D4" s="30" t="str">
        <x:v>Treatment Action</x:v>
      </x:c>
      <x:c r="E4" s="30" t="str">
        <x:v>Action Owner</x:v>
      </x:c>
      <x:c r="F4" s="30" t="str">
        <x:v>Priority</x:v>
      </x:c>
      <x:c r="G4" s="30" t="str">
        <x:v>Planned Start Date</x:v>
      </x:c>
      <x:c r="H4" s="30" t="str">
        <x:v>Target Completion Date</x:v>
      </x:c>
      <x:c r="I4" s="30" t="str">
        <x:v>Estimated One-Time Cost (USD)</x:v>
      </x:c>
      <x:c r="J4" s="30" t="str">
        <x:v>Expected Risk Reduction (%)</x:v>
      </x:c>
      <x:c r="K4" s="30" t="str">
        <x:v>Completion Progress (%)</x:v>
      </x:c>
      <x:c r="L4" s="30" t="str">
        <x:v>Treatment Status</x:v>
      </x:c>
      <x:c r="M4" s="30" t="str">
        <x:v>Dependencies</x:v>
      </x:c>
      <x:c r="N4" s="30" t="str">
        <x:v>Required Evidence</x:v>
      </x:c>
      <x:c r="O4" s="30" t="str">
        <x:v>Last Updated Date</x:v>
      </x:c>
    </x:row>
    <x:row r="5">
      <x:c r="A5" s="38" t="str">
        <x:v>TRT-DEL-001</x:v>
      </x:c>
      <x:c r="B5" s="38" t="str">
        <x:v>RISK-DELL-001</x:v>
      </x:c>
      <x:c r="C5" s="38" t="str">
        <x:v>Mitigate</x:v>
      </x:c>
      <x:c r="D5" s="38" t="str">
        <x:v>Privileged approval workflow</x:v>
      </x:c>
      <x:c r="E5" s="38" t="str">
        <x:v>Omar</x:v>
      </x:c>
      <x:c r="F5" s="38" t="str">
        <x:v>Critical</x:v>
      </x:c>
      <x:c r="G5" s="42" t="n">
        <x:v>46236</x:v>
      </x:c>
      <x:c r="H5" s="42" t="n">
        <x:v>46281</x:v>
      </x:c>
      <x:c r="I5" s="44" t="n">
        <x:v>68000</x:v>
      </x:c>
      <x:c r="J5" s="46" t="n">
        <x:v>28</x:v>
      </x:c>
      <x:c r="K5" s="46" t="n">
        <x:v>25</x:v>
      </x:c>
      <x:c r="L5" s="38" t="str">
        <x:v>In Progress</x:v>
      </x:c>
      <x:c r="M5" s="38" t="str">
        <x:v>Technical implementation</x:v>
      </x:c>
      <x:c r="N5" s="38" t="str">
        <x:v>Configuration evidence, test result, and owner approval</x:v>
      </x:c>
      <x:c r="O5" s="42" t="n">
        <x:v>46237</x:v>
      </x:c>
    </x:row>
    <x:row r="6">
      <x:c r="A6" s="38" t="str">
        <x:v>TRT-DEL-002</x:v>
      </x:c>
      <x:c r="B6" s="38" t="str">
        <x:v>RISK-DELL-002</x:v>
      </x:c>
      <x:c r="C6" s="38" t="str">
        <x:v>Mitigate</x:v>
      </x:c>
      <x:c r="D6" s="38" t="str">
        <x:v>Phishing-resistant MFA</x:v>
      </x:c>
      <x:c r="E6" s="38" t="str">
        <x:v>Noura</x:v>
      </x:c>
      <x:c r="F6" s="38" t="str">
        <x:v>High</x:v>
      </x:c>
      <x:c r="G6" s="42" t="n">
        <x:v>46237</x:v>
      </x:c>
      <x:c r="H6" s="42" t="n">
        <x:v>46297</x:v>
      </x:c>
      <x:c r="I6" s="44" t="n">
        <x:v>86000</x:v>
      </x:c>
      <x:c r="J6" s="46" t="n">
        <x:v>31</x:v>
      </x:c>
      <x:c r="K6" s="46" t="n">
        <x:v>40</x:v>
      </x:c>
      <x:c r="L6" s="38" t="str">
        <x:v>In Progress</x:v>
      </x:c>
      <x:c r="M6" s="38" t="str">
        <x:v>Technical implementation</x:v>
      </x:c>
      <x:c r="N6" s="38" t="str">
        <x:v>Configuration evidence, test result, and owner approval</x:v>
      </x:c>
      <x:c r="O6" s="42" t="n">
        <x:v>46239</x:v>
      </x:c>
    </x:row>
    <x:row r="7">
      <x:c r="A7" s="38" t="str">
        <x:v>TRT-DEL-003</x:v>
      </x:c>
      <x:c r="B7" s="38" t="str">
        <x:v>RISK-DELL-003</x:v>
      </x:c>
      <x:c r="C7" s="38" t="str">
        <x:v>Mitigate</x:v>
      </x:c>
      <x:c r="D7" s="38" t="str">
        <x:v>Role redesign</x:v>
      </x:c>
      <x:c r="E7" s="38" t="str">
        <x:v>Mariam</x:v>
      </x:c>
      <x:c r="F7" s="38" t="str">
        <x:v>Critical</x:v>
      </x:c>
      <x:c r="G7" s="42" t="n">
        <x:v>46238</x:v>
      </x:c>
      <x:c r="H7" s="42" t="n">
        <x:v>46313</x:v>
      </x:c>
      <x:c r="I7" s="44" t="n">
        <x:v>104000</x:v>
      </x:c>
      <x:c r="J7" s="46" t="n">
        <x:v>34</x:v>
      </x:c>
      <x:c r="K7" s="46" t="n">
        <x:v>55</x:v>
      </x:c>
      <x:c r="L7" s="38" t="str">
        <x:v>In Progress</x:v>
      </x:c>
      <x:c r="M7" s="38" t="str">
        <x:v>Budget and technical change approval</x:v>
      </x:c>
      <x:c r="N7" s="38" t="str">
        <x:v>Configuration evidence, test result, and owner approval</x:v>
      </x:c>
      <x:c r="O7" s="42" t="n">
        <x:v>46241</x:v>
      </x:c>
    </x:row>
    <x:row r="8">
      <x:c r="A8" s="38" t="str">
        <x:v>TRT-DEL-004</x:v>
      </x:c>
      <x:c r="B8" s="38" t="str">
        <x:v>RISK-DELL-004</x:v>
      </x:c>
      <x:c r="C8" s="38" t="str">
        <x:v>Mitigate</x:v>
      </x:c>
      <x:c r="D8" s="38" t="str">
        <x:v>Artifact signing</x:v>
      </x:c>
      <x:c r="E8" s="38" t="str">
        <x:v>Ahmed</x:v>
      </x:c>
      <x:c r="F8" s="38" t="str">
        <x:v>Critical</x:v>
      </x:c>
      <x:c r="G8" s="42" t="n">
        <x:v>46239</x:v>
      </x:c>
      <x:c r="H8" s="42" t="n">
        <x:v>46269</x:v>
      </x:c>
      <x:c r="I8" s="44" t="n">
        <x:v>122000</x:v>
      </x:c>
      <x:c r="J8" s="46" t="n">
        <x:v>37</x:v>
      </x:c>
      <x:c r="K8" s="46" t="n">
        <x:v>70</x:v>
      </x:c>
      <x:c r="L8" s="38" t="str">
        <x:v>In Progress</x:v>
      </x:c>
      <x:c r="M8" s="38" t="str">
        <x:v>Technical implementation</x:v>
      </x:c>
      <x:c r="N8" s="38" t="str">
        <x:v>Configuration evidence, test result, and owner approval</x:v>
      </x:c>
      <x:c r="O8" s="42" t="n">
        <x:v>46243</x:v>
      </x:c>
    </x:row>
    <x:row r="9">
      <x:c r="A9" s="38" t="str">
        <x:v>TRT-DEL-005</x:v>
      </x:c>
      <x:c r="B9" s="38" t="str">
        <x:v>RISK-DELL-005</x:v>
      </x:c>
      <x:c r="C9" s="38" t="str">
        <x:v>Mitigate</x:v>
      </x:c>
      <x:c r="D9" s="38" t="str">
        <x:v>Cross-region failover</x:v>
      </x:c>
      <x:c r="E9" s="38" t="str">
        <x:v>Lina</x:v>
      </x:c>
      <x:c r="F9" s="38" t="str">
        <x:v>Critical</x:v>
      </x:c>
      <x:c r="G9" s="42" t="n">
        <x:v>46240</x:v>
      </x:c>
      <x:c r="H9" s="42" t="n">
        <x:v>46285</x:v>
      </x:c>
      <x:c r="I9" s="44" t="n">
        <x:v>140000</x:v>
      </x:c>
      <x:c r="J9" s="46" t="n">
        <x:v>40</x:v>
      </x:c>
      <x:c r="K9" s="46" t="n">
        <x:v>85</x:v>
      </x:c>
      <x:c r="L9" s="38" t="str">
        <x:v>In Progress</x:v>
      </x:c>
      <x:c r="M9" s="38" t="str">
        <x:v>Technical implementation</x:v>
      </x:c>
      <x:c r="N9" s="38" t="str">
        <x:v>Configuration evidence, test result, and owner approval</x:v>
      </x:c>
      <x:c r="O9" s="42" t="n">
        <x:v>46245</x:v>
      </x:c>
    </x:row>
    <x:row r="10">
      <x:c r="A10" s="38" t="str">
        <x:v>TRT-DEL-006</x:v>
      </x:c>
      <x:c r="B10" s="38" t="str">
        <x:v>RISK-DELL-006</x:v>
      </x:c>
      <x:c r="C10" s="38" t="str">
        <x:v>Mitigate</x:v>
      </x:c>
      <x:c r="D10" s="38" t="str">
        <x:v>Short session lifetime</x:v>
      </x:c>
      <x:c r="E10" s="38" t="str">
        <x:v>Fahad</x:v>
      </x:c>
      <x:c r="F10" s="38" t="str">
        <x:v>High</x:v>
      </x:c>
      <x:c r="G10" s="42" t="n">
        <x:v>46241</x:v>
      </x:c>
      <x:c r="H10" s="42" t="n">
        <x:v>46301</x:v>
      </x:c>
      <x:c r="I10" s="44" t="n">
        <x:v>158000</x:v>
      </x:c>
      <x:c r="J10" s="46" t="n">
        <x:v>43</x:v>
      </x:c>
      <x:c r="K10" s="46" t="n">
        <x:v>10</x:v>
      </x:c>
      <x:c r="L10" s="38" t="str">
        <x:v>In Progress</x:v>
      </x:c>
      <x:c r="M10" s="38" t="str">
        <x:v>Budget and technical change approval</x:v>
      </x:c>
      <x:c r="N10" s="38" t="str">
        <x:v>Configuration evidence, test result, and owner approval</x:v>
      </x:c>
      <x:c r="O10" s="42" t="n">
        <x:v>46247</x:v>
      </x:c>
    </x:row>
    <x:row r="11">
      <x:c r="A11" s="38" t="str">
        <x:v>TRT-DEL-007</x:v>
      </x:c>
      <x:c r="B11" s="38" t="str">
        <x:v>RISK-DELL-007</x:v>
      </x:c>
      <x:c r="C11" s="38" t="str">
        <x:v>Mitigate</x:v>
      </x:c>
      <x:c r="D11" s="38" t="str">
        <x:v>JIT access</x:v>
      </x:c>
      <x:c r="E11" s="38" t="str">
        <x:v>Sara</x:v>
      </x:c>
      <x:c r="F11" s="38" t="str">
        <x:v>High</x:v>
      </x:c>
      <x:c r="G11" s="42" t="n">
        <x:v>46242</x:v>
      </x:c>
      <x:c r="H11" s="42" t="n">
        <x:v>46317</x:v>
      </x:c>
      <x:c r="I11" s="44" t="n">
        <x:v>176000</x:v>
      </x:c>
      <x:c r="J11" s="46" t="n">
        <x:v>46</x:v>
      </x:c>
      <x:c r="K11" s="46" t="n">
        <x:v>25</x:v>
      </x:c>
      <x:c r="L11" s="38" t="str">
        <x:v>In Progress</x:v>
      </x:c>
      <x:c r="M11" s="38" t="str">
        <x:v>Technical implementation</x:v>
      </x:c>
      <x:c r="N11" s="38" t="str">
        <x:v>Configuration evidence, test result, and owner approval</x:v>
      </x:c>
      <x:c r="O11" s="42" t="n">
        <x:v>46249</x:v>
      </x:c>
    </x:row>
    <x:row r="12">
      <x:c r="A12" s="38" t="str">
        <x:v>TRT-DEL-008</x:v>
      </x:c>
      <x:c r="B12" s="38" t="str">
        <x:v>RISK-DELL-008</x:v>
      </x:c>
      <x:c r="C12" s="38" t="str">
        <x:v>Transfer</x:v>
      </x:c>
      <x:c r="D12" s="38" t="str">
        <x:v>Supplier assurance</x:v>
      </x:c>
      <x:c r="E12" s="38" t="str">
        <x:v>Reem</x:v>
      </x:c>
      <x:c r="F12" s="38" t="str">
        <x:v>Critical</x:v>
      </x:c>
      <x:c r="G12" s="42" t="n">
        <x:v>46243</x:v>
      </x:c>
      <x:c r="H12" s="42" t="n">
        <x:v>46273</x:v>
      </x:c>
      <x:c r="I12" s="44" t="n">
        <x:v>194000</x:v>
      </x:c>
      <x:c r="J12" s="46" t="n">
        <x:v>49</x:v>
      </x:c>
      <x:c r="K12" s="46" t="n">
        <x:v>40</x:v>
      </x:c>
      <x:c r="L12" s="38" t="str">
        <x:v>In Progress</x:v>
      </x:c>
      <x:c r="M12" s="38" t="str">
        <x:v>Technical implementation</x:v>
      </x:c>
      <x:c r="N12" s="38" t="str">
        <x:v>Configuration evidence, test result, and owner approval</x:v>
      </x:c>
      <x:c r="O12" s="42" t="n">
        <x:v>46251</x:v>
      </x:c>
    </x:row>
    <x:row r="13">
      <x:c r="A13" s="38" t="str">
        <x:v>TRT-DEL-009</x:v>
      </x:c>
      <x:c r="B13" s="38" t="str">
        <x:v>RISK-DELL-009</x:v>
      </x:c>
      <x:c r="C13" s="38" t="str">
        <x:v>Mitigate</x:v>
      </x:c>
      <x:c r="D13" s="38" t="str">
        <x:v>DR credential vault</x:v>
      </x:c>
      <x:c r="E13" s="38" t="str">
        <x:v>Khalid</x:v>
      </x:c>
      <x:c r="F13" s="38" t="str">
        <x:v>Critical</x:v>
      </x:c>
      <x:c r="G13" s="42" t="n">
        <x:v>46244</x:v>
      </x:c>
      <x:c r="H13" s="42" t="n">
        <x:v>46289</x:v>
      </x:c>
      <x:c r="I13" s="44" t="n">
        <x:v>212000</x:v>
      </x:c>
      <x:c r="J13" s="46" t="n">
        <x:v>52</x:v>
      </x:c>
      <x:c r="K13" s="46" t="n">
        <x:v>55</x:v>
      </x:c>
      <x:c r="L13" s="38" t="str">
        <x:v>In Progress</x:v>
      </x:c>
      <x:c r="M13" s="38" t="str">
        <x:v>Budget and technical change approval</x:v>
      </x:c>
      <x:c r="N13" s="38" t="str">
        <x:v>Configuration evidence, test result, and owner approval</x:v>
      </x:c>
      <x:c r="O13" s="42" t="n">
        <x:v>46253</x:v>
      </x:c>
    </x:row>
    <x:row r="14">
      <x:c r="A14" s="38" t="str">
        <x:v>TRT-DEL-010</x:v>
      </x:c>
      <x:c r="B14" s="38" t="str">
        <x:v>RISK-DELL-010</x:v>
      </x:c>
      <x:c r="C14" s="38" t="str">
        <x:v>Mitigate</x:v>
      </x:c>
      <x:c r="D14" s="38" t="str">
        <x:v>Retention matrix</x:v>
      </x:c>
      <x:c r="E14" s="38" t="str">
        <x:v>Huda</x:v>
      </x:c>
      <x:c r="F14" s="38" t="str">
        <x:v>High</x:v>
      </x:c>
      <x:c r="G14" s="42" t="n">
        <x:v>46245</x:v>
      </x:c>
      <x:c r="H14" s="42" t="n">
        <x:v>46305</x:v>
      </x:c>
      <x:c r="I14" s="44" t="n">
        <x:v>230000</x:v>
      </x:c>
      <x:c r="J14" s="46" t="n">
        <x:v>55</x:v>
      </x:c>
      <x:c r="K14" s="46" t="n">
        <x:v>70</x:v>
      </x:c>
      <x:c r="L14" s="38" t="str">
        <x:v>In Progress</x:v>
      </x:c>
      <x:c r="M14" s="38" t="str">
        <x:v>Technical implementation</x:v>
      </x:c>
      <x:c r="N14" s="38" t="str">
        <x:v>Configuration evidence, test result, and owner approval</x:v>
      </x:c>
      <x:c r="O14" s="42" t="n">
        <x:v>46255</x:v>
      </x:c>
    </x:row>
    <x:row r="15">
      <x:c r="A15" s="38" t="str">
        <x:v>TRT-DEL-011</x:v>
      </x:c>
      <x:c r="B15" s="38" t="str">
        <x:v>RISK-DELL-011</x:v>
      </x:c>
      <x:c r="C15" s="38" t="str">
        <x:v>Mitigate</x:v>
      </x:c>
      <x:c r="D15" s="38" t="str">
        <x:v>Secret scanning</x:v>
      </x:c>
      <x:c r="E15" s="38" t="str">
        <x:v>Bader</x:v>
      </x:c>
      <x:c r="F15" s="38" t="str">
        <x:v>High</x:v>
      </x:c>
      <x:c r="G15" s="42" t="n">
        <x:v>46246</x:v>
      </x:c>
      <x:c r="H15" s="42" t="n">
        <x:v>46321</x:v>
      </x:c>
      <x:c r="I15" s="44" t="n">
        <x:v>248000</x:v>
      </x:c>
      <x:c r="J15" s="46" t="n">
        <x:v>58</x:v>
      </x:c>
      <x:c r="K15" s="46" t="n">
        <x:v>85</x:v>
      </x:c>
      <x:c r="L15" s="38" t="str">
        <x:v>In Progress</x:v>
      </x:c>
      <x:c r="M15" s="38" t="str">
        <x:v>Technical implementation</x:v>
      </x:c>
      <x:c r="N15" s="38" t="str">
        <x:v>Configuration evidence, test result, and owner approval</x:v>
      </x:c>
      <x:c r="O15" s="42" t="n">
        <x:v>46257</x:v>
      </x:c>
    </x:row>
    <x:row r="16">
      <x:c r="A16" s="38" t="str">
        <x:v>TRT-DEL-012</x:v>
      </x:c>
      <x:c r="B16" s="38" t="str">
        <x:v>RISK-DELL-012</x:v>
      </x:c>
      <x:c r="C16" s="38" t="str">
        <x:v>Transfer</x:v>
      </x:c>
      <x:c r="D16" s="38" t="str">
        <x:v>Dual sourcing</x:v>
      </x:c>
      <x:c r="E16" s="38" t="str">
        <x:v>Abeer</x:v>
      </x:c>
      <x:c r="F16" s="38" t="str">
        <x:v>High</x:v>
      </x:c>
      <x:c r="G16" s="42" t="n">
        <x:v>46247</x:v>
      </x:c>
      <x:c r="H16" s="42" t="n">
        <x:v>46277</x:v>
      </x:c>
      <x:c r="I16" s="44" t="n">
        <x:v>266000</x:v>
      </x:c>
      <x:c r="J16" s="46" t="n">
        <x:v>61</x:v>
      </x:c>
      <x:c r="K16" s="46" t="n">
        <x:v>10</x:v>
      </x:c>
      <x:c r="L16" s="38" t="str">
        <x:v>In Progress</x:v>
      </x:c>
      <x:c r="M16" s="38" t="str">
        <x:v>Budget and technical change approval</x:v>
      </x:c>
      <x:c r="N16" s="38" t="str">
        <x:v>Configuration evidence, test result, and owner approval</x:v>
      </x:c>
      <x:c r="O16" s="42" t="n">
        <x:v>46259</x:v>
      </x:c>
    </x:row>
  </x:sheetData>
  <x:mergeCells>
    <x:mergeCell ref="A1:O1"/>
    <x:mergeCell ref="A2:O2"/>
  </x:mergeCells>
  <x:conditionalFormatting sqref="A5:O16">
    <x:cfRule type="expression" dxfId="13" priority="1">
      <x:formula>MOD(ROW(),2)=0</x:formula>
    </x:cfRule>
  </x:conditionalFormatting>
  <x:conditionalFormatting sqref="K5:K16">
    <x:cfRule type="dataBar" priority="2">
      <x:dataBar>
        <x:cfvo type="min"/>
        <x:cfvo type="max"/>
        <x:color rgb="FF0E7490"/>
      </x:dataBar>
      <x:extLst>
        <x:ext xmlns:x14="http://schemas.microsoft.com/office/spreadsheetml/2009/9/main" uri="{B025F937-C7B1-47D3-B67F-A62EFF666E3E}">
          <x14:id>{4CA7C1A4-F480-DC05-875E-077E5F9C2DB6}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727cef089a4540ea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4CA7C1A4-F480-DC05-875E-077E5F9C2DB6}">
            <x14:dataBar gradient="1">
              <x14:cfvo type="min"/>
              <x14:cfvo type="max"/>
              <x14:fillColor rgb="FF0E7490"/>
            </x14:dataBar>
          </x14:cfRule>
          <xm:sqref>K5:K16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7" hidden="0" customWidth="1"/>
    <x:col min="3" max="3" width="22" hidden="0" customWidth="1"/>
    <x:col min="4" max="4" width="24" hidden="0" customWidth="1"/>
    <x:col min="5" max="5" width="24" hidden="0" customWidth="1"/>
    <x:col min="6" max="6" width="45" hidden="0" customWidth="1"/>
    <x:col min="7" max="7" width="17" hidden="0" customWidth="1"/>
    <x:col min="8" max="8" width="23" hidden="0" customWidth="1"/>
    <x:col min="9" max="9" width="22" hidden="0" customWidth="1"/>
    <x:col min="10" max="10" width="17" hidden="0" customWidth="1"/>
    <x:col min="11" max="11" width="15" hidden="0" customWidth="1"/>
    <x:col min="12" max="12" width="15" hidden="0" customWidth="1"/>
    <x:col min="13" max="13" width="21" hidden="0" customWidth="1"/>
    <x:col min="14" max="14" width="22" hidden="0" customWidth="1"/>
  </x:cols>
  <x:sheetData>
    <x:row r="1" ht="34" customHeight="1">
      <x:c r="A1" s="5" t="str">
        <x:v>Dell Control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8" customHeight="1">
      <x:c r="A2" s="13" t="str">
        <x:v>Synthetic controls, framework mapping, implementation, effectiveness, test cadence, evidence, and linked risks.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</x:row>
    <x:row r="4" ht="32" customHeight="1">
      <x:c r="A4" s="30" t="str">
        <x:v>Control ID</x:v>
      </x:c>
      <x:c r="B4" s="30" t="str">
        <x:v>Control Name</x:v>
      </x:c>
      <x:c r="C4" s="30" t="str">
        <x:v>Control Domain</x:v>
      </x:c>
      <x:c r="D4" s="30" t="str">
        <x:v>Applicable Framework</x:v>
      </x:c>
      <x:c r="E4" s="30" t="str">
        <x:v>Framework Control ID</x:v>
      </x:c>
      <x:c r="F4" s="30" t="str">
        <x:v>Control Objective</x:v>
      </x:c>
      <x:c r="G4" s="30" t="str">
        <x:v>Control Owner</x:v>
      </x:c>
      <x:c r="H4" s="30" t="str">
        <x:v>Implementation Status</x:v>
      </x:c>
      <x:c r="I4" s="30" t="str">
        <x:v>Control Effectiveness (%)</x:v>
      </x:c>
      <x:c r="J4" s="30" t="str">
        <x:v>Testing Frequency</x:v>
      </x:c>
      <x:c r="K4" s="30" t="str">
        <x:v>Last Test Date</x:v>
      </x:c>
      <x:c r="L4" s="30" t="str">
        <x:v>Next Test Date</x:v>
      </x:c>
      <x:c r="M4" s="30" t="str">
        <x:v>Evidence ID</x:v>
      </x:c>
      <x:c r="N4" s="30" t="str">
        <x:v>Related Risk IDs</x:v>
      </x:c>
    </x:row>
    <x:row r="5">
      <x:c r="A5" s="38" t="str">
        <x:v>CTRL-DEL-001</x:v>
      </x:c>
      <x:c r="B5" s="38" t="str">
        <x:v>Privileged Approval Workflow</x:v>
      </x:c>
      <x:c r="C5" s="38" t="str">
        <x:v>Product Security</x:v>
      </x:c>
      <x:c r="D5" s="38" t="str">
        <x:v>NCA ECC / ISO 27001</x:v>
      </x:c>
      <x:c r="E5" s="38" t="str">
        <x:v>IAM-04 / A.8.24</x:v>
      </x:c>
      <x:c r="F5" s="38" t="str">
        <x:v>Reduce exposure to unauthorized firmware package signing.</x:v>
      </x:c>
      <x:c r="G5" s="38" t="str">
        <x:v>Omar</x:v>
      </x:c>
      <x:c r="H5" s="38" t="str">
        <x:v>Partially Implemented</x:v>
      </x:c>
      <x:c r="I5" s="46" t="n">
        <x:v>72</x:v>
      </x:c>
      <x:c r="J5" s="38" t="str">
        <x:v>Quarterly</x:v>
      </x:c>
      <x:c r="K5" s="42" t="n">
        <x:v>46226</x:v>
      </x:c>
      <x:c r="L5" s="42" t="n">
        <x:v>46301</x:v>
      </x:c>
      <x:c r="M5" s="38" t="str">
        <x:v>CTRL-EVD-DEL-001</x:v>
      </x:c>
      <x:c r="N5" s="38" t="str">
        <x:v>RISK-DELL-001</x:v>
      </x:c>
    </x:row>
    <x:row r="6">
      <x:c r="A6" s="38" t="str">
        <x:v>CTRL-DEL-002</x:v>
      </x:c>
      <x:c r="B6" s="38" t="str">
        <x:v>Phishing-Resistant Mfa</x:v>
      </x:c>
      <x:c r="C6" s="38" t="str">
        <x:v>Third-Party Risk</x:v>
      </x:c>
      <x:c r="D6" s="38" t="str">
        <x:v>NCA ECC</x:v>
      </x:c>
      <x:c r="E6" s="38" t="str">
        <x:v>TPRM-04</x:v>
      </x:c>
      <x:c r="F6" s="38" t="str">
        <x:v>Reduce exposure to supplier portal account takeover.</x:v>
      </x:c>
      <x:c r="G6" s="38" t="str">
        <x:v>Noura</x:v>
      </x:c>
      <x:c r="H6" s="38" t="str">
        <x:v>Planned</x:v>
      </x:c>
      <x:c r="I6" s="46" t="n">
        <x:v>84</x:v>
      </x:c>
      <x:c r="J6" s="38" t="str">
        <x:v>Semiannual</x:v>
      </x:c>
      <x:c r="K6" s="42" t="n">
        <x:v>46217</x:v>
      </x:c>
      <x:c r="L6" s="42" t="n">
        <x:v>46307</x:v>
      </x:c>
      <x:c r="M6" s="38" t="str">
        <x:v>CTRL-EVD-DEL-002</x:v>
      </x:c>
      <x:c r="N6" s="38" t="str">
        <x:v>RISK-DELL-002</x:v>
      </x:c>
    </x:row>
    <x:row r="7">
      <x:c r="A7" s="38" t="str">
        <x:v>CTRL-DEL-003</x:v>
      </x:c>
      <x:c r="B7" s="38" t="str">
        <x:v>Role Redesign</x:v>
      </x:c>
      <x:c r="C7" s="38" t="str">
        <x:v>Data Protection</x:v>
      </x:c>
      <x:c r="D7" s="38" t="str">
        <x:v>PDPL / ISO 27001</x:v>
      </x:c>
      <x:c r="E7" s="38" t="str">
        <x:v>DP-03 / A.5.15</x:v>
      </x:c>
      <x:c r="F7" s="38" t="str">
        <x:v>Reduce exposure to warranty database data exposure.</x:v>
      </x:c>
      <x:c r="G7" s="38" t="str">
        <x:v>Mariam</x:v>
      </x:c>
      <x:c r="H7" s="38" t="str">
        <x:v>Implemented</x:v>
      </x:c>
      <x:c r="I7" s="46" t="n">
        <x:v>91</x:v>
      </x:c>
      <x:c r="J7" s="38" t="str">
        <x:v>Annual</x:v>
      </x:c>
      <x:c r="K7" s="42" t="n">
        <x:v>46208</x:v>
      </x:c>
      <x:c r="L7" s="42" t="n">
        <x:v>46313</x:v>
      </x:c>
      <x:c r="M7" s="38" t="str">
        <x:v>CTRL-EVD-DEL-003</x:v>
      </x:c>
      <x:c r="N7" s="38" t="str">
        <x:v>RISK-DELL-003</x:v>
      </x:c>
    </x:row>
    <x:row r="8">
      <x:c r="A8" s="38" t="str">
        <x:v>CTRL-DEL-004</x:v>
      </x:c>
      <x:c r="B8" s="38" t="str">
        <x:v>Artifact Signing</x:v>
      </x:c>
      <x:c r="C8" s="38" t="str">
        <x:v>Software Supply Chain</x:v>
      </x:c>
      <x:c r="D8" s="38" t="str">
        <x:v>ISO 27001</x:v>
      </x:c>
      <x:c r="E8" s="38" t="str">
        <x:v>A.8.25</x:v>
      </x:c>
      <x:c r="F8" s="38" t="str">
        <x:v>Reduce exposure to malicious update repository modification.</x:v>
      </x:c>
      <x:c r="G8" s="38" t="str">
        <x:v>Ahmed</x:v>
      </x:c>
      <x:c r="H8" s="38" t="str">
        <x:v>Implemented</x:v>
      </x:c>
      <x:c r="I8" s="46" t="n">
        <x:v>58</x:v>
      </x:c>
      <x:c r="J8" s="38" t="str">
        <x:v>Monthly</x:v>
      </x:c>
      <x:c r="K8" s="42" t="n">
        <x:v>46199</x:v>
      </x:c>
      <x:c r="L8" s="42" t="n">
        <x:v>46319</x:v>
      </x:c>
      <x:c r="M8" s="38" t="str">
        <x:v>CTRL-EVD-DEL-004</x:v>
      </x:c>
      <x:c r="N8" s="38" t="str">
        <x:v>RISK-DELL-004</x:v>
      </x:c>
    </x:row>
    <x:row r="9">
      <x:c r="A9" s="38" t="str">
        <x:v>CTRL-DEL-005</x:v>
      </x:c>
      <x:c r="B9" s="38" t="str">
        <x:v>Cross-Region Failover</x:v>
      </x:c>
      <x:c r="C9" s="38" t="str">
        <x:v>Business Continuity</x:v>
      </x:c>
      <x:c r="D9" s="38" t="str">
        <x:v>ISO 22301</x:v>
      </x:c>
      <x:c r="E9" s="38" t="str">
        <x:v>BCM-06</x:v>
      </x:c>
      <x:c r="F9" s="38" t="str">
        <x:v>Reduce exposure to device management regional outage.</x:v>
      </x:c>
      <x:c r="G9" s="38" t="str">
        <x:v>Lina</x:v>
      </x:c>
      <x:c r="H9" s="38" t="str">
        <x:v>Partially Implemented</x:v>
      </x:c>
      <x:c r="I9" s="46" t="n">
        <x:v>72</x:v>
      </x:c>
      <x:c r="J9" s="38" t="str">
        <x:v>Quarterly</x:v>
      </x:c>
      <x:c r="K9" s="42" t="n">
        <x:v>46190</x:v>
      </x:c>
      <x:c r="L9" s="42" t="n">
        <x:v>46325</x:v>
      </x:c>
      <x:c r="M9" s="38" t="str">
        <x:v>CTRL-EVD-DEL-005</x:v>
      </x:c>
      <x:c r="N9" s="38" t="str">
        <x:v>RISK-DELL-005</x:v>
      </x:c>
    </x:row>
    <x:row r="10">
      <x:c r="A10" s="38" t="str">
        <x:v>CTRL-DEL-006</x:v>
      </x:c>
      <x:c r="B10" s="38" t="str">
        <x:v>Short Session Lifetime</x:v>
      </x:c>
      <x:c r="C10" s="38" t="str">
        <x:v>Identity and Access</x:v>
      </x:c>
      <x:c r="D10" s="38" t="str">
        <x:v>NCA ECC</x:v>
      </x:c>
      <x:c r="E10" s="38" t="str">
        <x:v>IAM-05</x:v>
      </x:c>
      <x:c r="F10" s="38" t="str">
        <x:v>Reduce exposure to support crm session hijacking.</x:v>
      </x:c>
      <x:c r="G10" s="38" t="str">
        <x:v>Fahad</x:v>
      </x:c>
      <x:c r="H10" s="38" t="str">
        <x:v>Planned</x:v>
      </x:c>
      <x:c r="I10" s="46" t="n">
        <x:v>84</x:v>
      </x:c>
      <x:c r="J10" s="38" t="str">
        <x:v>Semiannual</x:v>
      </x:c>
      <x:c r="K10" s="42" t="n">
        <x:v>46181</x:v>
      </x:c>
      <x:c r="L10" s="42" t="n">
        <x:v>46331</x:v>
      </x:c>
      <x:c r="M10" s="38" t="str">
        <x:v>CTRL-EVD-DEL-006</x:v>
      </x:c>
      <x:c r="N10" s="38" t="str">
        <x:v>RISK-DELL-006</x:v>
      </x:c>
    </x:row>
    <x:row r="11">
      <x:c r="A11" s="38" t="str">
        <x:v>CTRL-DEL-007</x:v>
      </x:c>
      <x:c r="B11" s="38" t="str">
        <x:v>Jit Access</x:v>
      </x:c>
      <x:c r="C11" s="38" t="str">
        <x:v>Identity Governance</x:v>
      </x:c>
      <x:c r="D11" s="38" t="str">
        <x:v>NCA ECC</x:v>
      </x:c>
      <x:c r="E11" s="38" t="str">
        <x:v>IAM-04</x:v>
      </x:c>
      <x:c r="F11" s="38" t="str">
        <x:v>Reduce exposure to identity tenant privilege accumulation.</x:v>
      </x:c>
      <x:c r="G11" s="38" t="str">
        <x:v>Sara</x:v>
      </x:c>
      <x:c r="H11" s="38" t="str">
        <x:v>Implemented</x:v>
      </x:c>
      <x:c r="I11" s="46" t="n">
        <x:v>91</x:v>
      </x:c>
      <x:c r="J11" s="38" t="str">
        <x:v>Annual</x:v>
      </x:c>
      <x:c r="K11" s="42" t="n">
        <x:v>46172</x:v>
      </x:c>
      <x:c r="L11" s="42" t="n">
        <x:v>46337</x:v>
      </x:c>
      <x:c r="M11" s="38" t="str">
        <x:v>CTRL-EVD-DEL-007</x:v>
      </x:c>
      <x:c r="N11" s="38" t="str">
        <x:v>RISK-DELL-007</x:v>
      </x:c>
    </x:row>
    <x:row r="12">
      <x:c r="A12" s="38" t="str">
        <x:v>CTRL-DEL-008</x:v>
      </x:c>
      <x:c r="B12" s="38" t="str">
        <x:v>Supplier Assurance</x:v>
      </x:c>
      <x:c r="C12" s="38" t="str">
        <x:v>Supply Chain</x:v>
      </x:c>
      <x:c r="D12" s="38" t="str">
        <x:v>NCA ECC</x:v>
      </x:c>
      <x:c r="E12" s="38" t="str">
        <x:v>TPRM-06</x:v>
      </x:c>
      <x:c r="F12" s="38" t="str">
        <x:v>Reduce exposure to counterfeit component entry.</x:v>
      </x:c>
      <x:c r="G12" s="38" t="str">
        <x:v>Reem</x:v>
      </x:c>
      <x:c r="H12" s="38" t="str">
        <x:v>Implemented</x:v>
      </x:c>
      <x:c r="I12" s="46" t="n">
        <x:v>58</x:v>
      </x:c>
      <x:c r="J12" s="38" t="str">
        <x:v>Monthly</x:v>
      </x:c>
      <x:c r="K12" s="42" t="n">
        <x:v>46163</x:v>
      </x:c>
      <x:c r="L12" s="42" t="n">
        <x:v>46343</x:v>
      </x:c>
      <x:c r="M12" s="38" t="str">
        <x:v>CTRL-EVD-DEL-008</x:v>
      </x:c>
      <x:c r="N12" s="38" t="str">
        <x:v>RISK-DELL-008</x:v>
      </x:c>
    </x:row>
    <x:row r="13">
      <x:c r="A13" s="38" t="str">
        <x:v>CTRL-DEL-009</x:v>
      </x:c>
      <x:c r="B13" s="38" t="str">
        <x:v>Dr Credential Vault</x:v>
      </x:c>
      <x:c r="C13" s="38" t="str">
        <x:v>Disaster Recovery</x:v>
      </x:c>
      <x:c r="D13" s="38" t="str">
        <x:v>ISO 22301</x:v>
      </x:c>
      <x:c r="E13" s="38" t="str">
        <x:v>DR-05</x:v>
      </x:c>
      <x:c r="F13" s="38" t="str">
        <x:v>Reduce exposure to recovery automation credential failure.</x:v>
      </x:c>
      <x:c r="G13" s="38" t="str">
        <x:v>Khalid</x:v>
      </x:c>
      <x:c r="H13" s="38" t="str">
        <x:v>Partially Implemented</x:v>
      </x:c>
      <x:c r="I13" s="46" t="n">
        <x:v>72</x:v>
      </x:c>
      <x:c r="J13" s="38" t="str">
        <x:v>Quarterly</x:v>
      </x:c>
      <x:c r="K13" s="42" t="n">
        <x:v>46154</x:v>
      </x:c>
      <x:c r="L13" s="42" t="n">
        <x:v>46349</x:v>
      </x:c>
      <x:c r="M13" s="38" t="str">
        <x:v>CTRL-EVD-DEL-009</x:v>
      </x:c>
      <x:c r="N13" s="38" t="str">
        <x:v>RISK-DELL-009</x:v>
      </x:c>
    </x:row>
    <x:row r="14">
      <x:c r="A14" s="38" t="str">
        <x:v>CTRL-DEL-010</x:v>
      </x:c>
      <x:c r="B14" s="38" t="str">
        <x:v>Retention Matrix</x:v>
      </x:c>
      <x:c r="C14" s="38" t="str">
        <x:v>Compliance</x:v>
      </x:c>
      <x:c r="D14" s="38" t="str">
        <x:v>PDPL</x:v>
      </x:c>
      <x:c r="E14" s="38" t="str">
        <x:v>CMP-09</x:v>
      </x:c>
      <x:c r="F14" s="38" t="str">
        <x:v>Reduce exposure to customer case retention non-compliance.</x:v>
      </x:c>
      <x:c r="G14" s="38" t="str">
        <x:v>Huda</x:v>
      </x:c>
      <x:c r="H14" s="38" t="str">
        <x:v>Planned</x:v>
      </x:c>
      <x:c r="I14" s="46" t="n">
        <x:v>84</x:v>
      </x:c>
      <x:c r="J14" s="38" t="str">
        <x:v>Semiannual</x:v>
      </x:c>
      <x:c r="K14" s="42" t="n">
        <x:v>46145</x:v>
      </x:c>
      <x:c r="L14" s="42" t="n">
        <x:v>46355</x:v>
      </x:c>
      <x:c r="M14" s="38" t="str">
        <x:v>CTRL-EVD-DEL-010</x:v>
      </x:c>
      <x:c r="N14" s="38" t="str">
        <x:v>RISK-DELL-010</x:v>
      </x:c>
    </x:row>
    <x:row r="15">
      <x:c r="A15" s="38" t="str">
        <x:v>CTRL-DEL-011</x:v>
      </x:c>
      <x:c r="B15" s="38" t="str">
        <x:v>Secret Scanning</x:v>
      </x:c>
      <x:c r="C15" s="38" t="str">
        <x:v>API Security</x:v>
      </x:c>
      <x:c r="D15" s="38" t="str">
        <x:v>ISO 27001</x:v>
      </x:c>
      <x:c r="E15" s="38" t="str">
        <x:v>A.8.5</x:v>
      </x:c>
      <x:c r="F15" s="38" t="str">
        <x:v>Reduce exposure to telemetry api token leakage.</x:v>
      </x:c>
      <x:c r="G15" s="38" t="str">
        <x:v>Bader</x:v>
      </x:c>
      <x:c r="H15" s="38" t="str">
        <x:v>Implemented</x:v>
      </x:c>
      <x:c r="I15" s="46" t="n">
        <x:v>91</x:v>
      </x:c>
      <x:c r="J15" s="38" t="str">
        <x:v>Annual</x:v>
      </x:c>
      <x:c r="K15" s="42" t="n">
        <x:v>46136</x:v>
      </x:c>
      <x:c r="L15" s="42" t="n">
        <x:v>46361</x:v>
      </x:c>
      <x:c r="M15" s="38" t="str">
        <x:v>CTRL-EVD-DEL-011</x:v>
      </x:c>
      <x:c r="N15" s="38" t="str">
        <x:v>RISK-DELL-011</x:v>
      </x:c>
    </x:row>
    <x:row r="16">
      <x:c r="A16" s="38" t="str">
        <x:v>CTRL-DEL-012</x:v>
      </x:c>
      <x:c r="B16" s="38" t="str">
        <x:v>Dual Sourcing</x:v>
      </x:c>
      <x:c r="C16" s="38" t="str">
        <x:v>Operational Risk</x:v>
      </x:c>
      <x:c r="D16" s="38" t="str">
        <x:v>ISO 22301</x:v>
      </x:c>
      <x:c r="E16" s="38" t="str">
        <x:v>BCM-04</x:v>
      </x:c>
      <x:c r="F16" s="38" t="str">
        <x:v>Reduce exposure to critical supplier concentration.</x:v>
      </x:c>
      <x:c r="G16" s="38" t="str">
        <x:v>Abeer</x:v>
      </x:c>
      <x:c r="H16" s="38" t="str">
        <x:v>Implemented</x:v>
      </x:c>
      <x:c r="I16" s="46" t="n">
        <x:v>58</x:v>
      </x:c>
      <x:c r="J16" s="38" t="str">
        <x:v>Monthly</x:v>
      </x:c>
      <x:c r="K16" s="42" t="n">
        <x:v>46127</x:v>
      </x:c>
      <x:c r="L16" s="42" t="n">
        <x:v>46367</x:v>
      </x:c>
      <x:c r="M16" s="38" t="str">
        <x:v>CTRL-EVD-DEL-012</x:v>
      </x:c>
      <x:c r="N16" s="38" t="str">
        <x:v>RISK-DELL-012</x:v>
      </x:c>
    </x:row>
  </x:sheetData>
  <x:mergeCells>
    <x:mergeCell ref="A1:N1"/>
    <x:mergeCell ref="A2:N2"/>
  </x:mergeCells>
  <x:conditionalFormatting sqref="A5:N16">
    <x:cfRule type="expression" dxfId="14" priority="1">
      <x:formula>MOD(ROW(),2)=0</x:formula>
    </x:cfRule>
  </x:conditionalFormatting>
  <x:conditionalFormatting sqref="I5:I16">
    <x:cfRule type="dataBar" priority="2">
      <x:dataBar>
        <x:cfvo type="min"/>
        <x:cfvo type="max"/>
        <x:color rgb="FF10B981"/>
      </x:dataBar>
      <x:extLst>
        <x:ext xmlns:x14="http://schemas.microsoft.com/office/spreadsheetml/2009/9/main" uri="{B025F937-C7B1-47D3-B67F-A62EFF666E3E}">
          <x14:id>{180B3F8E-C82A-0EAE-49EA-03E4B01B4228}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e9519b158bc34d04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2" id="{180B3F8E-C82A-0EAE-49EA-03E4B01B4228}">
            <x14:dataBar gradient="1">
              <x14:cfvo type="min"/>
              <x14:cfvo type="max"/>
              <x14:fillColor rgb="FF10B981"/>
            </x14:dataBar>
          </x14:cfRule>
          <xm:sqref>I5:I16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7" hidden="0" customWidth="1"/>
    <x:col min="3" max="3" width="36" hidden="0" customWidth="1"/>
    <x:col min="4" max="4" width="23" hidden="0" customWidth="1"/>
    <x:col min="5" max="5" width="15" hidden="0" customWidth="1"/>
    <x:col min="6" max="6" width="21" hidden="0" customWidth="1"/>
    <x:col min="7" max="7" width="17" hidden="0" customWidth="1"/>
    <x:col min="8" max="8" width="46" hidden="0" customWidth="1"/>
    <x:col min="9" max="9" width="14" hidden="0" customWidth="1"/>
    <x:col min="10" max="10" width="18" hidden="0" customWidth="1"/>
    <x:col min="11" max="11" width="18" hidden="0" customWidth="1"/>
    <x:col min="12" max="12" width="14" hidden="0" customWidth="1"/>
    <x:col min="13" max="13" width="15" hidden="0" customWidth="1"/>
    <x:col min="14" max="14" width="17" hidden="0" customWidth="1"/>
    <x:col min="15" max="15" width="17" hidden="0" customWidth="1"/>
    <x:col min="16" max="16" width="19" hidden="0" customWidth="1"/>
    <x:col min="17" max="17" width="34" hidden="0" customWidth="1"/>
  </x:cols>
  <x:sheetData>
    <x:row r="1" ht="34" customHeight="1">
      <x:c r="A1" s="5" t="str">
        <x:v>Dell Key Risk Indicator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28" customHeight="1">
      <x:c r="A2" s="13" t="str">
        <x:v>Synthetic KRIs linked to risks, thresholds, owners, data sources, evidence, frequency, and current status.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  <x:c r="M2" s="13"/>
      <x:c r="N2" s="13"/>
      <x:c r="O2" s="13"/>
      <x:c r="P2" s="13"/>
      <x:c r="Q2" s="13"/>
    </x:row>
    <x:row r="4" ht="32" customHeight="1">
      <x:c r="A4" s="30" t="str">
        <x:v>KRI ID</x:v>
      </x:c>
      <x:c r="B4" s="30" t="str">
        <x:v>Risk ID</x:v>
      </x:c>
      <x:c r="C4" s="30" t="str">
        <x:v>KRI Name</x:v>
      </x:c>
      <x:c r="D4" s="30" t="str">
        <x:v>Business Unit</x:v>
      </x:c>
      <x:c r="E4" s="30" t="str">
        <x:v>KRI Owner</x:v>
      </x:c>
      <x:c r="F4" s="30" t="str">
        <x:v>Measurement Frequency</x:v>
      </x:c>
      <x:c r="G4" s="30" t="str">
        <x:v>Measurement Unit</x:v>
      </x:c>
      <x:c r="H4" s="30" t="str">
        <x:v>Measurement Method / Formula</x:v>
      </x:c>
      <x:c r="I4" s="30" t="str">
        <x:v>Target Value</x:v>
      </x:c>
      <x:c r="J4" s="30" t="str">
        <x:v>Warning Threshold</x:v>
      </x:c>
      <x:c r="K4" s="30" t="str">
        <x:v>Critical Threshold</x:v>
      </x:c>
      <x:c r="L4" s="30" t="str">
        <x:v>Current Value</x:v>
      </x:c>
      <x:c r="M4" s="30" t="str">
        <x:v>KRI Status</x:v>
      </x:c>
      <x:c r="N4" s="30" t="str">
        <x:v>Data Source</x:v>
      </x:c>
      <x:c r="O4" s="30" t="str">
        <x:v>Last Measurement Date</x:v>
      </x:c>
      <x:c r="P4" s="30" t="str">
        <x:v>Evidence ID</x:v>
      </x:c>
      <x:c r="Q4" s="30" t="str">
        <x:v>Additional Notes</x:v>
      </x:c>
    </x:row>
    <x:row r="5">
      <x:c r="A5" s="38" t="str">
        <x:v>KRI-DEL-001</x:v>
      </x:c>
      <x:c r="B5" s="38" t="str">
        <x:v>RISK-DELL-001</x:v>
      </x:c>
      <x:c r="C5" s="38" t="str">
        <x:v>Unauthorized firmware package signing indicator</x:v>
      </x:c>
      <x:c r="D5" s="38" t="str">
        <x:v>Product Security</x:v>
      </x:c>
      <x:c r="E5" s="38" t="str">
        <x:v>Omar</x:v>
      </x:c>
      <x:c r="F5" s="38" t="str">
        <x:v>Weekly</x:v>
      </x:c>
      <x:c r="G5" s="38" t="str">
        <x:v>Count</x:v>
      </x:c>
      <x:c r="H5" s="38" t="str">
        <x:v>Measured from approved operational telemetry and governance records.</x:v>
      </x:c>
      <x:c r="I5" s="38" t="n">
        <x:v>0</x:v>
      </x:c>
      <x:c r="J5" s="38" t="n">
        <x:v>2</x:v>
      </x:c>
      <x:c r="K5" s="38" t="n">
        <x:v>5</x:v>
      </x:c>
      <x:c r="L5" s="38" t="n">
        <x:v>1</x:v>
      </x:c>
      <x:c r="M5" s="38" t="str">
        <x:v>On Target</x:v>
      </x:c>
      <x:c r="N5" s="38" t="str">
        <x:v>SIEM</x:v>
      </x:c>
      <x:c r="O5" s="42" t="n">
        <x:v>46236</x:v>
      </x:c>
      <x:c r="P5" s="38" t="str">
        <x:v>KRI-EVD-001</x:v>
      </x:c>
      <x:c r="Q5" s="38" t="str">
        <x:v>Synthetic threshold values for testing.</x:v>
      </x:c>
    </x:row>
    <x:row r="6">
      <x:c r="A6" s="38" t="str">
        <x:v>KRI-DEL-002</x:v>
      </x:c>
      <x:c r="B6" s="38" t="str">
        <x:v>RISK-DELL-002</x:v>
      </x:c>
      <x:c r="C6" s="38" t="str">
        <x:v>Supplier portal account takeover indicator</x:v>
      </x:c>
      <x:c r="D6" s="38" t="str">
        <x:v>Supply Chain</x:v>
      </x:c>
      <x:c r="E6" s="38" t="str">
        <x:v>Noura</x:v>
      </x:c>
      <x:c r="F6" s="38" t="str">
        <x:v>Monthly</x:v>
      </x:c>
      <x:c r="G6" s="38" t="str">
        <x:v>Count</x:v>
      </x:c>
      <x:c r="H6" s="38" t="str">
        <x:v>Measured from approved operational telemetry and governance records.</x:v>
      </x:c>
      <x:c r="I6" s="38" t="n">
        <x:v>0</x:v>
      </x:c>
      <x:c r="J6" s="38" t="n">
        <x:v>2</x:v>
      </x:c>
      <x:c r="K6" s="38" t="n">
        <x:v>5</x:v>
      </x:c>
      <x:c r="L6" s="38" t="n">
        <x:v>3</x:v>
      </x:c>
      <x:c r="M6" s="38" t="str">
        <x:v>Warning</x:v>
      </x:c>
      <x:c r="N6" s="38" t="str">
        <x:v>Manual Entry</x:v>
      </x:c>
      <x:c r="O6" s="42" t="n">
        <x:v>46237</x:v>
      </x:c>
      <x:c r="P6" s="38" t="str">
        <x:v>KRI-EVD-002</x:v>
      </x:c>
      <x:c r="Q6" s="38" t="str">
        <x:v>Synthetic threshold values for testing.</x:v>
      </x:c>
    </x:row>
    <x:row r="7">
      <x:c r="A7" s="38" t="str">
        <x:v>KRI-DEL-003</x:v>
      </x:c>
      <x:c r="B7" s="38" t="str">
        <x:v>RISK-DELL-003</x:v>
      </x:c>
      <x:c r="C7" s="38" t="str">
        <x:v>Warranty database data exposure indicator</x:v>
      </x:c>
      <x:c r="D7" s="38" t="str">
        <x:v>Customer Support</x:v>
      </x:c>
      <x:c r="E7" s="38" t="str">
        <x:v>Mariam</x:v>
      </x:c>
      <x:c r="F7" s="38" t="str">
        <x:v>Quarterly</x:v>
      </x:c>
      <x:c r="G7" s="38" t="str">
        <x:v>%</x:v>
      </x:c>
      <x:c r="H7" s="38" t="str">
        <x:v>Measured from approved operational telemetry and governance records.</x:v>
      </x:c>
      <x:c r="I7" s="38" t="n">
        <x:v>95</x:v>
      </x:c>
      <x:c r="J7" s="38" t="n">
        <x:v>90</x:v>
      </x:c>
      <x:c r="K7" s="38" t="n">
        <x:v>80</x:v>
      </x:c>
      <x:c r="L7" s="38" t="n">
        <x:v>89</x:v>
      </x:c>
      <x:c r="M7" s="38" t="str">
        <x:v>Warning</x:v>
      </x:c>
      <x:c r="N7" s="38" t="str">
        <x:v>Excel Import</x:v>
      </x:c>
      <x:c r="O7" s="42" t="n">
        <x:v>46238</x:v>
      </x:c>
      <x:c r="P7" s="38" t="str">
        <x:v>KRI-EVD-003</x:v>
      </x:c>
      <x:c r="Q7" s="38" t="str">
        <x:v>Synthetic threshold values for testing.</x:v>
      </x:c>
    </x:row>
    <x:row r="8">
      <x:c r="A8" s="38" t="str">
        <x:v>KRI-DEL-004</x:v>
      </x:c>
      <x:c r="B8" s="38" t="str">
        <x:v>RISK-DELL-004</x:v>
      </x:c>
      <x:c r="C8" s="38" t="str">
        <x:v>Malicious update repository modification indicator</x:v>
      </x:c>
      <x:c r="D8" s="38" t="str">
        <x:v>Product Security</x:v>
      </x:c>
      <x:c r="E8" s="38" t="str">
        <x:v>Ahmed</x:v>
      </x:c>
      <x:c r="F8" s="38" t="str">
        <x:v>Daily</x:v>
      </x:c>
      <x:c r="G8" s="38" t="str">
        <x:v>Count</x:v>
      </x:c>
      <x:c r="H8" s="38" t="str">
        <x:v>Measured from approved operational telemetry and governance records.</x:v>
      </x:c>
      <x:c r="I8" s="38" t="n">
        <x:v>0</x:v>
      </x:c>
      <x:c r="J8" s="38" t="n">
        <x:v>2</x:v>
      </x:c>
      <x:c r="K8" s="38" t="n">
        <x:v>5</x:v>
      </x:c>
      <x:c r="L8" s="38" t="n">
        <x:v>0</x:v>
      </x:c>
      <x:c r="M8" s="38" t="str">
        <x:v>On Target</x:v>
      </x:c>
      <x:c r="N8" s="38" t="str">
        <x:v>API</x:v>
      </x:c>
      <x:c r="O8" s="42" t="n">
        <x:v>46239</x:v>
      </x:c>
      <x:c r="P8" s="38" t="str">
        <x:v>KRI-EVD-004</x:v>
      </x:c>
      <x:c r="Q8" s="38" t="str">
        <x:v>Synthetic threshold values for testing.</x:v>
      </x:c>
    </x:row>
    <x:row r="9">
      <x:c r="A9" s="38" t="str">
        <x:v>KRI-DEL-005</x:v>
      </x:c>
      <x:c r="B9" s="38" t="str">
        <x:v>RISK-DELL-005</x:v>
      </x:c>
      <x:c r="C9" s="38" t="str">
        <x:v>Device management regional outage indicator</x:v>
      </x:c>
      <x:c r="D9" s="38" t="str">
        <x:v>Cloud Operations</x:v>
      </x:c>
      <x:c r="E9" s="38" t="str">
        <x:v>Lina</x:v>
      </x:c>
      <x:c r="F9" s="38" t="str">
        <x:v>Weekly</x:v>
      </x:c>
      <x:c r="G9" s="38" t="str">
        <x:v>Count</x:v>
      </x:c>
      <x:c r="H9" s="38" t="str">
        <x:v>Measured from approved operational telemetry and governance records.</x:v>
      </x:c>
      <x:c r="I9" s="38" t="n">
        <x:v>0</x:v>
      </x:c>
      <x:c r="J9" s="38" t="n">
        <x:v>2</x:v>
      </x:c>
      <x:c r="K9" s="38" t="n">
        <x:v>5</x:v>
      </x:c>
      <x:c r="L9" s="38" t="n">
        <x:v>1</x:v>
      </x:c>
      <x:c r="M9" s="38" t="str">
        <x:v>On Target</x:v>
      </x:c>
      <x:c r="N9" s="38" t="str">
        <x:v>SIEM</x:v>
      </x:c>
      <x:c r="O9" s="42" t="n">
        <x:v>46240</x:v>
      </x:c>
      <x:c r="P9" s="38" t="str">
        <x:v>KRI-EVD-005</x:v>
      </x:c>
      <x:c r="Q9" s="38" t="str">
        <x:v>Synthetic threshold values for testing.</x:v>
      </x:c>
    </x:row>
    <x:row r="10">
      <x:c r="A10" s="38" t="str">
        <x:v>KRI-DEL-006</x:v>
      </x:c>
      <x:c r="B10" s="38" t="str">
        <x:v>RISK-DELL-006</x:v>
      </x:c>
      <x:c r="C10" s="38" t="str">
        <x:v>Support CRM session hijacking indicator</x:v>
      </x:c>
      <x:c r="D10" s="38" t="str">
        <x:v>Customer Support</x:v>
      </x:c>
      <x:c r="E10" s="38" t="str">
        <x:v>Fahad</x:v>
      </x:c>
      <x:c r="F10" s="38" t="str">
        <x:v>Monthly</x:v>
      </x:c>
      <x:c r="G10" s="38" t="str">
        <x:v>%</x:v>
      </x:c>
      <x:c r="H10" s="38" t="str">
        <x:v>Measured from approved operational telemetry and governance records.</x:v>
      </x:c>
      <x:c r="I10" s="38" t="n">
        <x:v>2</x:v>
      </x:c>
      <x:c r="J10" s="38" t="n">
        <x:v>5</x:v>
      </x:c>
      <x:c r="K10" s="38" t="n">
        <x:v>10</x:v>
      </x:c>
      <x:c r="L10" s="38" t="n">
        <x:v>11</x:v>
      </x:c>
      <x:c r="M10" s="38" t="str">
        <x:v>Critical</x:v>
      </x:c>
      <x:c r="N10" s="38" t="str">
        <x:v>Manual Entry</x:v>
      </x:c>
      <x:c r="O10" s="42" t="n">
        <x:v>46241</x:v>
      </x:c>
      <x:c r="P10" s="38" t="str">
        <x:v>KRI-EVD-006</x:v>
      </x:c>
      <x:c r="Q10" s="38" t="str">
        <x:v>Synthetic threshold values for testing.</x:v>
      </x:c>
    </x:row>
    <x:row r="11">
      <x:c r="A11" s="38" t="str">
        <x:v>KRI-DEL-007</x:v>
      </x:c>
      <x:c r="B11" s="38" t="str">
        <x:v>RISK-DELL-007</x:v>
      </x:c>
      <x:c r="C11" s="38" t="str">
        <x:v>Identity tenant privilege accumulation indicator</x:v>
      </x:c>
      <x:c r="D11" s="38" t="str">
        <x:v>Enterprise IT</x:v>
      </x:c>
      <x:c r="E11" s="38" t="str">
        <x:v>Sara</x:v>
      </x:c>
      <x:c r="F11" s="38" t="str">
        <x:v>Quarterly</x:v>
      </x:c>
      <x:c r="G11" s="38" t="str">
        <x:v>Count</x:v>
      </x:c>
      <x:c r="H11" s="38" t="str">
        <x:v>Measured from approved operational telemetry and governance records.</x:v>
      </x:c>
      <x:c r="I11" s="38" t="n">
        <x:v>0</x:v>
      </x:c>
      <x:c r="J11" s="38" t="n">
        <x:v>2</x:v>
      </x:c>
      <x:c r="K11" s="38" t="n">
        <x:v>5</x:v>
      </x:c>
      <x:c r="L11" s="38" t="n">
        <x:v>6</x:v>
      </x:c>
      <x:c r="M11" s="38" t="str">
        <x:v>On Target</x:v>
      </x:c>
      <x:c r="N11" s="38" t="str">
        <x:v>Excel Import</x:v>
      </x:c>
      <x:c r="O11" s="42" t="n">
        <x:v>46242</x:v>
      </x:c>
      <x:c r="P11" s="38" t="str">
        <x:v>KRI-EVD-007</x:v>
      </x:c>
      <x:c r="Q11" s="38" t="str">
        <x:v>Synthetic threshold values for testing.</x:v>
      </x:c>
    </x:row>
    <x:row r="12">
      <x:c r="A12" s="38" t="str">
        <x:v>KRI-DEL-008</x:v>
      </x:c>
      <x:c r="B12" s="38" t="str">
        <x:v>RISK-DELL-008</x:v>
      </x:c>
      <x:c r="C12" s="38" t="str">
        <x:v>Counterfeit component entry indicator</x:v>
      </x:c>
      <x:c r="D12" s="38" t="str">
        <x:v>Supply Chain</x:v>
      </x:c>
      <x:c r="E12" s="38" t="str">
        <x:v>Reem</x:v>
      </x:c>
      <x:c r="F12" s="38" t="str">
        <x:v>Daily</x:v>
      </x:c>
      <x:c r="G12" s="38" t="str">
        <x:v>Count</x:v>
      </x:c>
      <x:c r="H12" s="38" t="str">
        <x:v>Measured from approved operational telemetry and governance records.</x:v>
      </x:c>
      <x:c r="I12" s="38" t="n">
        <x:v>0</x:v>
      </x:c>
      <x:c r="J12" s="38" t="n">
        <x:v>2</x:v>
      </x:c>
      <x:c r="K12" s="38" t="n">
        <x:v>5</x:v>
      </x:c>
      <x:c r="L12" s="38" t="n">
        <x:v>0</x:v>
      </x:c>
      <x:c r="M12" s="38" t="str">
        <x:v>On Target</x:v>
      </x:c>
      <x:c r="N12" s="38" t="str">
        <x:v>API</x:v>
      </x:c>
      <x:c r="O12" s="42" t="n">
        <x:v>46243</x:v>
      </x:c>
      <x:c r="P12" s="38" t="str">
        <x:v>KRI-EVD-008</x:v>
      </x:c>
      <x:c r="Q12" s="38" t="str">
        <x:v>Synthetic threshold values for testing.</x:v>
      </x:c>
    </x:row>
    <x:row r="13">
      <x:c r="A13" s="38" t="str">
        <x:v>KRI-DEL-009</x:v>
      </x:c>
      <x:c r="B13" s="38" t="str">
        <x:v>RISK-DELL-009</x:v>
      </x:c>
      <x:c r="C13" s="38" t="str">
        <x:v>Recovery automation credential failure indicator</x:v>
      </x:c>
      <x:c r="D13" s="38" t="str">
        <x:v>Business Continuity</x:v>
      </x:c>
      <x:c r="E13" s="38" t="str">
        <x:v>Khalid</x:v>
      </x:c>
      <x:c r="F13" s="38" t="str">
        <x:v>Weekly</x:v>
      </x:c>
      <x:c r="G13" s="38" t="str">
        <x:v>%</x:v>
      </x:c>
      <x:c r="H13" s="38" t="str">
        <x:v>Measured from approved operational telemetry and governance records.</x:v>
      </x:c>
      <x:c r="I13" s="38" t="n">
        <x:v>95</x:v>
      </x:c>
      <x:c r="J13" s="38" t="n">
        <x:v>90</x:v>
      </x:c>
      <x:c r="K13" s="38" t="n">
        <x:v>80</x:v>
      </x:c>
      <x:c r="L13" s="38" t="n">
        <x:v>92</x:v>
      </x:c>
      <x:c r="M13" s="38" t="str">
        <x:v>Warning</x:v>
      </x:c>
      <x:c r="N13" s="38" t="str">
        <x:v>SIEM</x:v>
      </x:c>
      <x:c r="O13" s="42" t="n">
        <x:v>46244</x:v>
      </x:c>
      <x:c r="P13" s="38" t="str">
        <x:v>KRI-EVD-009</x:v>
      </x:c>
      <x:c r="Q13" s="38" t="str">
        <x:v>Synthetic threshold values for testing.</x:v>
      </x:c>
    </x:row>
    <x:row r="14">
      <x:c r="A14" s="38" t="str">
        <x:v>KRI-DEL-010</x:v>
      </x:c>
      <x:c r="B14" s="38" t="str">
        <x:v>RISK-DELL-010</x:v>
      </x:c>
      <x:c r="C14" s="38" t="str">
        <x:v>Customer case retention non-compliance indicator</x:v>
      </x:c>
      <x:c r="D14" s="38" t="str">
        <x:v>GRC</x:v>
      </x:c>
      <x:c r="E14" s="38" t="str">
        <x:v>Huda</x:v>
      </x:c>
      <x:c r="F14" s="38" t="str">
        <x:v>Monthly</x:v>
      </x:c>
      <x:c r="G14" s="38" t="str">
        <x:v>Count</x:v>
      </x:c>
      <x:c r="H14" s="38" t="str">
        <x:v>Measured from approved operational telemetry and governance records.</x:v>
      </x:c>
      <x:c r="I14" s="38" t="n">
        <x:v>0</x:v>
      </x:c>
      <x:c r="J14" s="38" t="n">
        <x:v>2</x:v>
      </x:c>
      <x:c r="K14" s="38" t="n">
        <x:v>5</x:v>
      </x:c>
      <x:c r="L14" s="38" t="n">
        <x:v>3</x:v>
      </x:c>
      <x:c r="M14" s="38" t="str">
        <x:v>Warning</x:v>
      </x:c>
      <x:c r="N14" s="38" t="str">
        <x:v>Manual Entry</x:v>
      </x:c>
      <x:c r="O14" s="42" t="n">
        <x:v>46245</x:v>
      </x:c>
      <x:c r="P14" s="38" t="str">
        <x:v>KRI-EVD-010</x:v>
      </x:c>
      <x:c r="Q14" s="38" t="str">
        <x:v>Synthetic threshold values for testing.</x:v>
      </x:c>
    </x:row>
    <x:row r="15">
      <x:c r="A15" s="38" t="str">
        <x:v>KRI-DEL-011</x:v>
      </x:c>
      <x:c r="B15" s="38" t="str">
        <x:v>RISK-DELL-011</x:v>
      </x:c>
      <x:c r="C15" s="38" t="str">
        <x:v>Telemetry API token leakage indicator</x:v>
      </x:c>
      <x:c r="D15" s="38" t="str">
        <x:v>Cloud Operations</x:v>
      </x:c>
      <x:c r="E15" s="38" t="str">
        <x:v>Bader</x:v>
      </x:c>
      <x:c r="F15" s="38" t="str">
        <x:v>Quarterly</x:v>
      </x:c>
      <x:c r="G15" s="38" t="str">
        <x:v>Count</x:v>
      </x:c>
      <x:c r="H15" s="38" t="str">
        <x:v>Measured from approved operational telemetry and governance records.</x:v>
      </x:c>
      <x:c r="I15" s="38" t="n">
        <x:v>0</x:v>
      </x:c>
      <x:c r="J15" s="38" t="n">
        <x:v>2</x:v>
      </x:c>
      <x:c r="K15" s="38" t="n">
        <x:v>5</x:v>
      </x:c>
      <x:c r="L15" s="38" t="n">
        <x:v>6</x:v>
      </x:c>
      <x:c r="M15" s="38" t="str">
        <x:v>On Target</x:v>
      </x:c>
      <x:c r="N15" s="38" t="str">
        <x:v>Excel Import</x:v>
      </x:c>
      <x:c r="O15" s="42" t="n">
        <x:v>46246</x:v>
      </x:c>
      <x:c r="P15" s="38" t="str">
        <x:v>KRI-EVD-011</x:v>
      </x:c>
      <x:c r="Q15" s="38" t="str">
        <x:v>Synthetic threshold values for testing.</x:v>
      </x:c>
    </x:row>
    <x:row r="16">
      <x:c r="A16" s="38" t="str">
        <x:v>KRI-DEL-012</x:v>
      </x:c>
      <x:c r="B16" s="38" t="str">
        <x:v>RISK-DELL-012</x:v>
      </x:c>
      <x:c r="C16" s="38" t="str">
        <x:v>Critical supplier concentration indicator</x:v>
      </x:c>
      <x:c r="D16" s="38" t="str">
        <x:v>Supply Chain</x:v>
      </x:c>
      <x:c r="E16" s="38" t="str">
        <x:v>Abeer</x:v>
      </x:c>
      <x:c r="F16" s="38" t="str">
        <x:v>Daily</x:v>
      </x:c>
      <x:c r="G16" s="38" t="str">
        <x:v>%</x:v>
      </x:c>
      <x:c r="H16" s="38" t="str">
        <x:v>Measured from approved operational telemetry and governance records.</x:v>
      </x:c>
      <x:c r="I16" s="38" t="n">
        <x:v>2</x:v>
      </x:c>
      <x:c r="J16" s="38" t="n">
        <x:v>5</x:v>
      </x:c>
      <x:c r="K16" s="38" t="n">
        <x:v>10</x:v>
      </x:c>
      <x:c r="L16" s="38" t="n">
        <x:v>3</x:v>
      </x:c>
      <x:c r="M16" s="38" t="str">
        <x:v>Warning</x:v>
      </x:c>
      <x:c r="N16" s="38" t="str">
        <x:v>API</x:v>
      </x:c>
      <x:c r="O16" s="42" t="n">
        <x:v>46247</x:v>
      </x:c>
      <x:c r="P16" s="38" t="str">
        <x:v>KRI-EVD-012</x:v>
      </x:c>
      <x:c r="Q16" s="38" t="str">
        <x:v>Synthetic threshold values for testing.</x:v>
      </x:c>
    </x:row>
  </x:sheetData>
  <x:mergeCells>
    <x:mergeCell ref="A1:Q1"/>
    <x:mergeCell ref="A2:Q2"/>
  </x:mergeCells>
  <x:conditionalFormatting sqref="A5:Q16">
    <x:cfRule type="expression" dxfId="15" priority="1">
      <x:formula>MOD(ROW(),2)=0</x:formula>
    </x:cfRule>
  </x:conditionalFormatting>
  <x:conditionalFormatting sqref="M5:M16">
    <x:cfRule type="expression" dxfId="16" priority="2">
      <x:formula>$M5="Critical"</x:formula>
    </x:cfRule>
    <x:cfRule type="expression" dxfId="17" priority="3">
      <x:formula>$M5="Warning"</x:formula>
    </x:cfRule>
    <x:cfRule type="expression" dxfId="18" priority="4">
      <x:formula>$M5="On Target"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7a56fc8ca57484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17" hidden="0" customWidth="1"/>
    <x:col min="4" max="4" width="17" hidden="0" customWidth="1"/>
    <x:col min="5" max="5" width="16" hidden="0" customWidth="1"/>
    <x:col min="6" max="6" width="18" hidden="0" customWidth="1"/>
    <x:col min="7" max="7" width="18" hidden="0" customWidth="1"/>
    <x:col min="8" max="8" width="16" hidden="0" customWidth="1"/>
    <x:col min="9" max="9" width="17" hidden="0" customWidth="1"/>
    <x:col min="10" max="10" width="21" hidden="0" customWidth="1"/>
    <x:col min="11" max="11" width="34" hidden="0" customWidth="1"/>
  </x:cols>
  <x:sheetData>
    <x:row r="1" ht="34" customHeight="1">
      <x:c r="A1" s="5" t="str">
        <x:v>Dell KRI Measurement History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8" customHeight="1">
      <x:c r="A2" s="13" t="str">
        <x:v>Synthetic time-series measurements. Historical periods are preserved rather than overwritten.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32" customHeight="1">
      <x:c r="A4" s="30" t="str">
        <x:v>Measurement ID</x:v>
      </x:c>
      <x:c r="B4" s="30" t="str">
        <x:v>KRI ID</x:v>
      </x:c>
      <x:c r="C4" s="30" t="str">
        <x:v>Measurement Date</x:v>
      </x:c>
      <x:c r="D4" s="30" t="str">
        <x:v>Reporting Period</x:v>
      </x:c>
      <x:c r="E4" s="30" t="str">
        <x:v>Measured Value</x:v>
      </x:c>
      <x:c r="F4" s="30" t="str">
        <x:v>Measurement Unit</x:v>
      </x:c>
      <x:c r="G4" s="30" t="str">
        <x:v>Calculated Status</x:v>
      </x:c>
      <x:c r="H4" s="30" t="str">
        <x:v>Measured By</x:v>
      </x:c>
      <x:c r="I4" s="30" t="str">
        <x:v>Data Source</x:v>
      </x:c>
      <x:c r="J4" s="30" t="str">
        <x:v>Evidence ID</x:v>
      </x:c>
      <x:c r="K4" s="30" t="str">
        <x:v>Measurement Notes</x:v>
      </x:c>
    </x:row>
    <x:row r="5">
      <x:c r="A5" s="38" t="str">
        <x:v>MEAS-DEL-001-1</x:v>
      </x:c>
      <x:c r="B5" s="38" t="str">
        <x:v>KRI-DEL-001</x:v>
      </x:c>
      <x:c r="C5" s="42" t="n">
        <x:v>46112</x:v>
      </x:c>
      <x:c r="D5" s="38" t="str">
        <x:v>Mar 2026</x:v>
      </x:c>
      <x:c r="E5" s="38" t="n">
        <x:v>4</x:v>
      </x:c>
      <x:c r="F5" s="38" t="str">
        <x:v>Count</x:v>
      </x:c>
      <x:c r="G5" s="38" t="str">
        <x:v>On Target</x:v>
      </x:c>
      <x:c r="H5" s="38" t="str">
        <x:v>Omar</x:v>
      </x:c>
      <x:c r="I5" s="38" t="str">
        <x:v>SIEM</x:v>
      </x:c>
      <x:c r="J5" s="38" t="str">
        <x:v>MEAS-EVD-001-1</x:v>
      </x:c>
      <x:c r="K5" s="38" t="str">
        <x:v>Synthetic historical measurement.</x:v>
      </x:c>
    </x:row>
    <x:row r="6">
      <x:c r="A6" s="38" t="str">
        <x:v>MEAS-DEL-001-2</x:v>
      </x:c>
      <x:c r="B6" s="38" t="str">
        <x:v>KRI-DEL-001</x:v>
      </x:c>
      <x:c r="C6" s="42" t="n">
        <x:v>46142</x:v>
      </x:c>
      <x:c r="D6" s="38" t="str">
        <x:v>Apr 2026</x:v>
      </x:c>
      <x:c r="E6" s="38" t="n">
        <x:v>3</x:v>
      </x:c>
      <x:c r="F6" s="38" t="str">
        <x:v>Count</x:v>
      </x:c>
      <x:c r="G6" s="38" t="str">
        <x:v>On Target</x:v>
      </x:c>
      <x:c r="H6" s="38" t="str">
        <x:v>Omar</x:v>
      </x:c>
      <x:c r="I6" s="38" t="str">
        <x:v>SIEM</x:v>
      </x:c>
      <x:c r="J6" s="38" t="str">
        <x:v>MEAS-EVD-001-2</x:v>
      </x:c>
      <x:c r="K6" s="38" t="str">
        <x:v>Synthetic historical measurement.</x:v>
      </x:c>
    </x:row>
    <x:row r="7">
      <x:c r="A7" s="38" t="str">
        <x:v>MEAS-DEL-001-3</x:v>
      </x:c>
      <x:c r="B7" s="38" t="str">
        <x:v>KRI-DEL-001</x:v>
      </x:c>
      <x:c r="C7" s="42" t="n">
        <x:v>46172</x:v>
      </x:c>
      <x:c r="D7" s="38" t="str">
        <x:v>May 2026</x:v>
      </x:c>
      <x:c r="E7" s="38" t="n">
        <x:v>2</x:v>
      </x:c>
      <x:c r="F7" s="38" t="str">
        <x:v>Count</x:v>
      </x:c>
      <x:c r="G7" s="38" t="str">
        <x:v>On Target</x:v>
      </x:c>
      <x:c r="H7" s="38" t="str">
        <x:v>Omar</x:v>
      </x:c>
      <x:c r="I7" s="38" t="str">
        <x:v>SIEM</x:v>
      </x:c>
      <x:c r="J7" s="38" t="str">
        <x:v>MEAS-EVD-001-3</x:v>
      </x:c>
      <x:c r="K7" s="38" t="str">
        <x:v>Synthetic historical measurement.</x:v>
      </x:c>
    </x:row>
    <x:row r="8">
      <x:c r="A8" s="38" t="str">
        <x:v>MEAS-DEL-001-4</x:v>
      </x:c>
      <x:c r="B8" s="38" t="str">
        <x:v>KRI-DEL-001</x:v>
      </x:c>
      <x:c r="C8" s="42" t="n">
        <x:v>46202</x:v>
      </x:c>
      <x:c r="D8" s="38" t="str">
        <x:v>Jun 2026</x:v>
      </x:c>
      <x:c r="E8" s="38" t="n">
        <x:v>1</x:v>
      </x:c>
      <x:c r="F8" s="38" t="str">
        <x:v>Count</x:v>
      </x:c>
      <x:c r="G8" s="38" t="str">
        <x:v>On Target</x:v>
      </x:c>
      <x:c r="H8" s="38" t="str">
        <x:v>Omar</x:v>
      </x:c>
      <x:c r="I8" s="38" t="str">
        <x:v>SIEM</x:v>
      </x:c>
      <x:c r="J8" s="38" t="str">
        <x:v>MEAS-EVD-001-4</x:v>
      </x:c>
      <x:c r="K8" s="38" t="str">
        <x:v>Synthetic historical measurement.</x:v>
      </x:c>
    </x:row>
    <x:row r="9">
      <x:c r="A9" s="38" t="str">
        <x:v>MEAS-DEL-001-5</x:v>
      </x:c>
      <x:c r="B9" s="38" t="str">
        <x:v>KRI-DEL-001</x:v>
      </x:c>
      <x:c r="C9" s="42" t="n">
        <x:v>46232</x:v>
      </x:c>
      <x:c r="D9" s="38" t="str">
        <x:v>Jul 2026</x:v>
      </x:c>
      <x:c r="E9" s="38" t="n">
        <x:v>0</x:v>
      </x:c>
      <x:c r="F9" s="38" t="str">
        <x:v>Count</x:v>
      </x:c>
      <x:c r="G9" s="38" t="str">
        <x:v>On Target</x:v>
      </x:c>
      <x:c r="H9" s="38" t="str">
        <x:v>Omar</x:v>
      </x:c>
      <x:c r="I9" s="38" t="str">
        <x:v>SIEM</x:v>
      </x:c>
      <x:c r="J9" s="38" t="str">
        <x:v>MEAS-EVD-001-5</x:v>
      </x:c>
      <x:c r="K9" s="38" t="str">
        <x:v>Synthetic historical measurement.</x:v>
      </x:c>
    </x:row>
    <x:row r="10">
      <x:c r="A10" s="38" t="str">
        <x:v>MEAS-DEL-001-6</x:v>
      </x:c>
      <x:c r="B10" s="38" t="str">
        <x:v>KRI-DEL-001</x:v>
      </x:c>
      <x:c r="C10" s="42" t="n">
        <x:v>46262</x:v>
      </x:c>
      <x:c r="D10" s="38" t="str">
        <x:v>Aug 2026</x:v>
      </x:c>
      <x:c r="E10" s="38" t="n">
        <x:v>0</x:v>
      </x:c>
      <x:c r="F10" s="38" t="str">
        <x:v>Count</x:v>
      </x:c>
      <x:c r="G10" s="38" t="str">
        <x:v>On Target</x:v>
      </x:c>
      <x:c r="H10" s="38" t="str">
        <x:v>Omar</x:v>
      </x:c>
      <x:c r="I10" s="38" t="str">
        <x:v>SIEM</x:v>
      </x:c>
      <x:c r="J10" s="38" t="str">
        <x:v>MEAS-EVD-001-6</x:v>
      </x:c>
      <x:c r="K10" s="38" t="str">
        <x:v>Synthetic historical measurement.</x:v>
      </x:c>
    </x:row>
    <x:row r="11">
      <x:c r="A11" s="38" t="str">
        <x:v>MEAS-DEL-002-1</x:v>
      </x:c>
      <x:c r="B11" s="38" t="str">
        <x:v>KRI-DEL-002</x:v>
      </x:c>
      <x:c r="C11" s="42" t="n">
        <x:v>46112</x:v>
      </x:c>
      <x:c r="D11" s="38" t="str">
        <x:v>Mar 2026</x:v>
      </x:c>
      <x:c r="E11" s="38" t="n">
        <x:v>0</x:v>
      </x:c>
      <x:c r="F11" s="38" t="str">
        <x:v>Count</x:v>
      </x:c>
      <x:c r="G11" s="38" t="str">
        <x:v>On Target</x:v>
      </x:c>
      <x:c r="H11" s="38" t="str">
        <x:v>Noura</x:v>
      </x:c>
      <x:c r="I11" s="38" t="str">
        <x:v>Manual Entry</x:v>
      </x:c>
      <x:c r="J11" s="38" t="str">
        <x:v>MEAS-EVD-002-1</x:v>
      </x:c>
      <x:c r="K11" s="38" t="str">
        <x:v>Synthetic historical measurement.</x:v>
      </x:c>
    </x:row>
    <x:row r="12">
      <x:c r="A12" s="38" t="str">
        <x:v>MEAS-DEL-002-2</x:v>
      </x:c>
      <x:c r="B12" s="38" t="str">
        <x:v>KRI-DEL-002</x:v>
      </x:c>
      <x:c r="C12" s="42" t="n">
        <x:v>46142</x:v>
      </x:c>
      <x:c r="D12" s="38" t="str">
        <x:v>Apr 2026</x:v>
      </x:c>
      <x:c r="E12" s="38" t="n">
        <x:v>1</x:v>
      </x:c>
      <x:c r="F12" s="38" t="str">
        <x:v>Count</x:v>
      </x:c>
      <x:c r="G12" s="38" t="str">
        <x:v>Warning</x:v>
      </x:c>
      <x:c r="H12" s="38" t="str">
        <x:v>Noura</x:v>
      </x:c>
      <x:c r="I12" s="38" t="str">
        <x:v>Manual Entry</x:v>
      </x:c>
      <x:c r="J12" s="38" t="str">
        <x:v>MEAS-EVD-002-2</x:v>
      </x:c>
      <x:c r="K12" s="38" t="str">
        <x:v>Synthetic historical measurement.</x:v>
      </x:c>
    </x:row>
    <x:row r="13">
      <x:c r="A13" s="38" t="str">
        <x:v>MEAS-DEL-002-3</x:v>
      </x:c>
      <x:c r="B13" s="38" t="str">
        <x:v>KRI-DEL-002</x:v>
      </x:c>
      <x:c r="C13" s="42" t="n">
        <x:v>46172</x:v>
      </x:c>
      <x:c r="D13" s="38" t="str">
        <x:v>May 2026</x:v>
      </x:c>
      <x:c r="E13" s="38" t="n">
        <x:v>2</x:v>
      </x:c>
      <x:c r="F13" s="38" t="str">
        <x:v>Count</x:v>
      </x:c>
      <x:c r="G13" s="38" t="str">
        <x:v>Warning</x:v>
      </x:c>
      <x:c r="H13" s="38" t="str">
        <x:v>Noura</x:v>
      </x:c>
      <x:c r="I13" s="38" t="str">
        <x:v>Manual Entry</x:v>
      </x:c>
      <x:c r="J13" s="38" t="str">
        <x:v>MEAS-EVD-002-3</x:v>
      </x:c>
      <x:c r="K13" s="38" t="str">
        <x:v>Synthetic historical measurement.</x:v>
      </x:c>
    </x:row>
    <x:row r="14">
      <x:c r="A14" s="38" t="str">
        <x:v>MEAS-DEL-002-4</x:v>
      </x:c>
      <x:c r="B14" s="38" t="str">
        <x:v>KRI-DEL-002</x:v>
      </x:c>
      <x:c r="C14" s="42" t="n">
        <x:v>46202</x:v>
      </x:c>
      <x:c r="D14" s="38" t="str">
        <x:v>Jun 2026</x:v>
      </x:c>
      <x:c r="E14" s="38" t="n">
        <x:v>3</x:v>
      </x:c>
      <x:c r="F14" s="38" t="str">
        <x:v>Count</x:v>
      </x:c>
      <x:c r="G14" s="38" t="str">
        <x:v>Warning</x:v>
      </x:c>
      <x:c r="H14" s="38" t="str">
        <x:v>Noura</x:v>
      </x:c>
      <x:c r="I14" s="38" t="str">
        <x:v>Manual Entry</x:v>
      </x:c>
      <x:c r="J14" s="38" t="str">
        <x:v>MEAS-EVD-002-4</x:v>
      </x:c>
      <x:c r="K14" s="38" t="str">
        <x:v>Synthetic historical measurement.</x:v>
      </x:c>
    </x:row>
    <x:row r="15">
      <x:c r="A15" s="38" t="str">
        <x:v>MEAS-DEL-002-5</x:v>
      </x:c>
      <x:c r="B15" s="38" t="str">
        <x:v>KRI-DEL-002</x:v>
      </x:c>
      <x:c r="C15" s="42" t="n">
        <x:v>46232</x:v>
      </x:c>
      <x:c r="D15" s="38" t="str">
        <x:v>Jul 2026</x:v>
      </x:c>
      <x:c r="E15" s="38" t="n">
        <x:v>4</x:v>
      </x:c>
      <x:c r="F15" s="38" t="str">
        <x:v>Count</x:v>
      </x:c>
      <x:c r="G15" s="38" t="str">
        <x:v>Warning</x:v>
      </x:c>
      <x:c r="H15" s="38" t="str">
        <x:v>Noura</x:v>
      </x:c>
      <x:c r="I15" s="38" t="str">
        <x:v>Manual Entry</x:v>
      </x:c>
      <x:c r="J15" s="38" t="str">
        <x:v>MEAS-EVD-002-5</x:v>
      </x:c>
      <x:c r="K15" s="38" t="str">
        <x:v>Synthetic historical measurement.</x:v>
      </x:c>
    </x:row>
    <x:row r="16">
      <x:c r="A16" s="38" t="str">
        <x:v>MEAS-DEL-002-6</x:v>
      </x:c>
      <x:c r="B16" s="38" t="str">
        <x:v>KRI-DEL-002</x:v>
      </x:c>
      <x:c r="C16" s="42" t="n">
        <x:v>46262</x:v>
      </x:c>
      <x:c r="D16" s="38" t="str">
        <x:v>Aug 2026</x:v>
      </x:c>
      <x:c r="E16" s="38" t="n">
        <x:v>5</x:v>
      </x:c>
      <x:c r="F16" s="38" t="str">
        <x:v>Count</x:v>
      </x:c>
      <x:c r="G16" s="38" t="str">
        <x:v>Critical</x:v>
      </x:c>
      <x:c r="H16" s="38" t="str">
        <x:v>Noura</x:v>
      </x:c>
      <x:c r="I16" s="38" t="str">
        <x:v>Manual Entry</x:v>
      </x:c>
      <x:c r="J16" s="38" t="str">
        <x:v>MEAS-EVD-002-6</x:v>
      </x:c>
      <x:c r="K16" s="38" t="str">
        <x:v>Synthetic historical measurement.</x:v>
      </x:c>
    </x:row>
    <x:row r="17">
      <x:c r="A17" s="38" t="str">
        <x:v>MEAS-DEL-003-1</x:v>
      </x:c>
      <x:c r="B17" s="38" t="str">
        <x:v>KRI-DEL-003</x:v>
      </x:c>
      <x:c r="C17" s="42" t="n">
        <x:v>46112</x:v>
      </x:c>
      <x:c r="D17" s="38" t="str">
        <x:v>Mar 2026</x:v>
      </x:c>
      <x:c r="E17" s="38" t="n">
        <x:v>92</x:v>
      </x:c>
      <x:c r="F17" s="38" t="str">
        <x:v>%</x:v>
      </x:c>
      <x:c r="G17" s="38" t="str">
        <x:v>Warning</x:v>
      </x:c>
      <x:c r="H17" s="38" t="str">
        <x:v>Mariam</x:v>
      </x:c>
      <x:c r="I17" s="38" t="str">
        <x:v>Excel Import</x:v>
      </x:c>
      <x:c r="J17" s="38" t="str">
        <x:v>MEAS-EVD-003-1</x:v>
      </x:c>
      <x:c r="K17" s="38" t="str">
        <x:v>Synthetic historical measurement.</x:v>
      </x:c>
    </x:row>
    <x:row r="18">
      <x:c r="A18" s="38" t="str">
        <x:v>MEAS-DEL-003-2</x:v>
      </x:c>
      <x:c r="B18" s="38" t="str">
        <x:v>KRI-DEL-003</x:v>
      </x:c>
      <x:c r="C18" s="42" t="n">
        <x:v>46142</x:v>
      </x:c>
      <x:c r="D18" s="38" t="str">
        <x:v>Apr 2026</x:v>
      </x:c>
      <x:c r="E18" s="38" t="n">
        <x:v>91</x:v>
      </x:c>
      <x:c r="F18" s="38" t="str">
        <x:v>%</x:v>
      </x:c>
      <x:c r="G18" s="38" t="str">
        <x:v>Warning</x:v>
      </x:c>
      <x:c r="H18" s="38" t="str">
        <x:v>Mariam</x:v>
      </x:c>
      <x:c r="I18" s="38" t="str">
        <x:v>Excel Import</x:v>
      </x:c>
      <x:c r="J18" s="38" t="str">
        <x:v>MEAS-EVD-003-2</x:v>
      </x:c>
      <x:c r="K18" s="38" t="str">
        <x:v>Synthetic historical measurement.</x:v>
      </x:c>
    </x:row>
    <x:row r="19">
      <x:c r="A19" s="38" t="str">
        <x:v>MEAS-DEL-003-3</x:v>
      </x:c>
      <x:c r="B19" s="38" t="str">
        <x:v>KRI-DEL-003</x:v>
      </x:c>
      <x:c r="C19" s="42" t="n">
        <x:v>46172</x:v>
      </x:c>
      <x:c r="D19" s="38" t="str">
        <x:v>May 2026</x:v>
      </x:c>
      <x:c r="E19" s="38" t="n">
        <x:v>90</x:v>
      </x:c>
      <x:c r="F19" s="38" t="str">
        <x:v>%</x:v>
      </x:c>
      <x:c r="G19" s="38" t="str">
        <x:v>Warning</x:v>
      </x:c>
      <x:c r="H19" s="38" t="str">
        <x:v>Mariam</x:v>
      </x:c>
      <x:c r="I19" s="38" t="str">
        <x:v>Excel Import</x:v>
      </x:c>
      <x:c r="J19" s="38" t="str">
        <x:v>MEAS-EVD-003-3</x:v>
      </x:c>
      <x:c r="K19" s="38" t="str">
        <x:v>Synthetic historical measurement.</x:v>
      </x:c>
    </x:row>
    <x:row r="20">
      <x:c r="A20" s="38" t="str">
        <x:v>MEAS-DEL-003-4</x:v>
      </x:c>
      <x:c r="B20" s="38" t="str">
        <x:v>KRI-DEL-003</x:v>
      </x:c>
      <x:c r="C20" s="42" t="n">
        <x:v>46202</x:v>
      </x:c>
      <x:c r="D20" s="38" t="str">
        <x:v>Jun 2026</x:v>
      </x:c>
      <x:c r="E20" s="38" t="n">
        <x:v>89</x:v>
      </x:c>
      <x:c r="F20" s="38" t="str">
        <x:v>%</x:v>
      </x:c>
      <x:c r="G20" s="38" t="str">
        <x:v>Warning</x:v>
      </x:c>
      <x:c r="H20" s="38" t="str">
        <x:v>Mariam</x:v>
      </x:c>
      <x:c r="I20" s="38" t="str">
        <x:v>Excel Import</x:v>
      </x:c>
      <x:c r="J20" s="38" t="str">
        <x:v>MEAS-EVD-003-4</x:v>
      </x:c>
      <x:c r="K20" s="38" t="str">
        <x:v>Synthetic historical measurement.</x:v>
      </x:c>
    </x:row>
    <x:row r="21">
      <x:c r="A21" s="38" t="str">
        <x:v>MEAS-DEL-003-5</x:v>
      </x:c>
      <x:c r="B21" s="38" t="str">
        <x:v>KRI-DEL-003</x:v>
      </x:c>
      <x:c r="C21" s="42" t="n">
        <x:v>46232</x:v>
      </x:c>
      <x:c r="D21" s="38" t="str">
        <x:v>Jul 2026</x:v>
      </x:c>
      <x:c r="E21" s="38" t="n">
        <x:v>88</x:v>
      </x:c>
      <x:c r="F21" s="38" t="str">
        <x:v>%</x:v>
      </x:c>
      <x:c r="G21" s="38" t="str">
        <x:v>Warning</x:v>
      </x:c>
      <x:c r="H21" s="38" t="str">
        <x:v>Mariam</x:v>
      </x:c>
      <x:c r="I21" s="38" t="str">
        <x:v>Excel Import</x:v>
      </x:c>
      <x:c r="J21" s="38" t="str">
        <x:v>MEAS-EVD-003-5</x:v>
      </x:c>
      <x:c r="K21" s="38" t="str">
        <x:v>Synthetic historical measurement.</x:v>
      </x:c>
    </x:row>
    <x:row r="22">
      <x:c r="A22" s="38" t="str">
        <x:v>MEAS-DEL-003-6</x:v>
      </x:c>
      <x:c r="B22" s="38" t="str">
        <x:v>KRI-DEL-003</x:v>
      </x:c>
      <x:c r="C22" s="42" t="n">
        <x:v>46262</x:v>
      </x:c>
      <x:c r="D22" s="38" t="str">
        <x:v>Aug 2026</x:v>
      </x:c>
      <x:c r="E22" s="38" t="n">
        <x:v>87</x:v>
      </x:c>
      <x:c r="F22" s="38" t="str">
        <x:v>%</x:v>
      </x:c>
      <x:c r="G22" s="38" t="str">
        <x:v>Warning</x:v>
      </x:c>
      <x:c r="H22" s="38" t="str">
        <x:v>Mariam</x:v>
      </x:c>
      <x:c r="I22" s="38" t="str">
        <x:v>Excel Import</x:v>
      </x:c>
      <x:c r="J22" s="38" t="str">
        <x:v>MEAS-EVD-003-6</x:v>
      </x:c>
      <x:c r="K22" s="38" t="str">
        <x:v>Synthetic historical measurement.</x:v>
      </x:c>
    </x:row>
    <x:row r="23">
      <x:c r="A23" s="38" t="str">
        <x:v>MEAS-DEL-004-1</x:v>
      </x:c>
      <x:c r="B23" s="38" t="str">
        <x:v>KRI-DEL-004</x:v>
      </x:c>
      <x:c r="C23" s="42" t="n">
        <x:v>46112</x:v>
      </x:c>
      <x:c r="D23" s="38" t="str">
        <x:v>Mar 2026</x:v>
      </x:c>
      <x:c r="E23" s="38" t="n">
        <x:v>0</x:v>
      </x:c>
      <x:c r="F23" s="38" t="str">
        <x:v>Count</x:v>
      </x:c>
      <x:c r="G23" s="38" t="str">
        <x:v>On Target</x:v>
      </x:c>
      <x:c r="H23" s="38" t="str">
        <x:v>Ahmed</x:v>
      </x:c>
      <x:c r="I23" s="38" t="str">
        <x:v>API</x:v>
      </x:c>
      <x:c r="J23" s="38" t="str">
        <x:v>MEAS-EVD-004-1</x:v>
      </x:c>
      <x:c r="K23" s="38" t="str">
        <x:v>Synthetic historical measurement.</x:v>
      </x:c>
    </x:row>
    <x:row r="24">
      <x:c r="A24" s="38" t="str">
        <x:v>MEAS-DEL-004-2</x:v>
      </x:c>
      <x:c r="B24" s="38" t="str">
        <x:v>KRI-DEL-004</x:v>
      </x:c>
      <x:c r="C24" s="42" t="n">
        <x:v>46142</x:v>
      </x:c>
      <x:c r="D24" s="38" t="str">
        <x:v>Apr 2026</x:v>
      </x:c>
      <x:c r="E24" s="38" t="n">
        <x:v>0</x:v>
      </x:c>
      <x:c r="F24" s="38" t="str">
        <x:v>Count</x:v>
      </x:c>
      <x:c r="G24" s="38" t="str">
        <x:v>On Target</x:v>
      </x:c>
      <x:c r="H24" s="38" t="str">
        <x:v>Ahmed</x:v>
      </x:c>
      <x:c r="I24" s="38" t="str">
        <x:v>API</x:v>
      </x:c>
      <x:c r="J24" s="38" t="str">
        <x:v>MEAS-EVD-004-2</x:v>
      </x:c>
      <x:c r="K24" s="38" t="str">
        <x:v>Synthetic historical measurement.</x:v>
      </x:c>
    </x:row>
    <x:row r="25">
      <x:c r="A25" s="38" t="str">
        <x:v>MEAS-DEL-004-3</x:v>
      </x:c>
      <x:c r="B25" s="38" t="str">
        <x:v>KRI-DEL-004</x:v>
      </x:c>
      <x:c r="C25" s="42" t="n">
        <x:v>46172</x:v>
      </x:c>
      <x:c r="D25" s="38" t="str">
        <x:v>May 2026</x:v>
      </x:c>
      <x:c r="E25" s="38" t="n">
        <x:v>0</x:v>
      </x:c>
      <x:c r="F25" s="38" t="str">
        <x:v>Count</x:v>
      </x:c>
      <x:c r="G25" s="38" t="str">
        <x:v>On Target</x:v>
      </x:c>
      <x:c r="H25" s="38" t="str">
        <x:v>Ahmed</x:v>
      </x:c>
      <x:c r="I25" s="38" t="str">
        <x:v>API</x:v>
      </x:c>
      <x:c r="J25" s="38" t="str">
        <x:v>MEAS-EVD-004-3</x:v>
      </x:c>
      <x:c r="K25" s="38" t="str">
        <x:v>Synthetic historical measurement.</x:v>
      </x:c>
    </x:row>
    <x:row r="26">
      <x:c r="A26" s="38" t="str">
        <x:v>MEAS-DEL-004-4</x:v>
      </x:c>
      <x:c r="B26" s="38" t="str">
        <x:v>KRI-DEL-004</x:v>
      </x:c>
      <x:c r="C26" s="42" t="n">
        <x:v>46202</x:v>
      </x:c>
      <x:c r="D26" s="38" t="str">
        <x:v>Jun 2026</x:v>
      </x:c>
      <x:c r="E26" s="38" t="n">
        <x:v>0</x:v>
      </x:c>
      <x:c r="F26" s="38" t="str">
        <x:v>Count</x:v>
      </x:c>
      <x:c r="G26" s="38" t="str">
        <x:v>On Target</x:v>
      </x:c>
      <x:c r="H26" s="38" t="str">
        <x:v>Ahmed</x:v>
      </x:c>
      <x:c r="I26" s="38" t="str">
        <x:v>API</x:v>
      </x:c>
      <x:c r="J26" s="38" t="str">
        <x:v>MEAS-EVD-004-4</x:v>
      </x:c>
      <x:c r="K26" s="38" t="str">
        <x:v>Synthetic historical measurement.</x:v>
      </x:c>
    </x:row>
    <x:row r="27">
      <x:c r="A27" s="38" t="str">
        <x:v>MEAS-DEL-004-5</x:v>
      </x:c>
      <x:c r="B27" s="38" t="str">
        <x:v>KRI-DEL-004</x:v>
      </x:c>
      <x:c r="C27" s="42" t="n">
        <x:v>46232</x:v>
      </x:c>
      <x:c r="D27" s="38" t="str">
        <x:v>Jul 2026</x:v>
      </x:c>
      <x:c r="E27" s="38" t="n">
        <x:v>1</x:v>
      </x:c>
      <x:c r="F27" s="38" t="str">
        <x:v>Count</x:v>
      </x:c>
      <x:c r="G27" s="38" t="str">
        <x:v>Warning</x:v>
      </x:c>
      <x:c r="H27" s="38" t="str">
        <x:v>Ahmed</x:v>
      </x:c>
      <x:c r="I27" s="38" t="str">
        <x:v>API</x:v>
      </x:c>
      <x:c r="J27" s="38" t="str">
        <x:v>MEAS-EVD-004-5</x:v>
      </x:c>
      <x:c r="K27" s="38" t="str">
        <x:v>Synthetic historical measurement.</x:v>
      </x:c>
    </x:row>
    <x:row r="28">
      <x:c r="A28" s="38" t="str">
        <x:v>MEAS-DEL-004-6</x:v>
      </x:c>
      <x:c r="B28" s="38" t="str">
        <x:v>KRI-DEL-004</x:v>
      </x:c>
      <x:c r="C28" s="42" t="n">
        <x:v>46262</x:v>
      </x:c>
      <x:c r="D28" s="38" t="str">
        <x:v>Aug 2026</x:v>
      </x:c>
      <x:c r="E28" s="38" t="n">
        <x:v>2</x:v>
      </x:c>
      <x:c r="F28" s="38" t="str">
        <x:v>Count</x:v>
      </x:c>
      <x:c r="G28" s="38" t="str">
        <x:v>Warning</x:v>
      </x:c>
      <x:c r="H28" s="38" t="str">
        <x:v>Ahmed</x:v>
      </x:c>
      <x:c r="I28" s="38" t="str">
        <x:v>API</x:v>
      </x:c>
      <x:c r="J28" s="38" t="str">
        <x:v>MEAS-EVD-004-6</x:v>
      </x:c>
      <x:c r="K28" s="38" t="str">
        <x:v>Synthetic historical measurement.</x:v>
      </x:c>
    </x:row>
    <x:row r="29">
      <x:c r="A29" s="38" t="str">
        <x:v>MEAS-DEL-005-1</x:v>
      </x:c>
      <x:c r="B29" s="38" t="str">
        <x:v>KRI-DEL-005</x:v>
      </x:c>
      <x:c r="C29" s="42" t="n">
        <x:v>46112</x:v>
      </x:c>
      <x:c r="D29" s="38" t="str">
        <x:v>Mar 2026</x:v>
      </x:c>
      <x:c r="E29" s="38" t="n">
        <x:v>4</x:v>
      </x:c>
      <x:c r="F29" s="38" t="str">
        <x:v>Count</x:v>
      </x:c>
      <x:c r="G29" s="38" t="str">
        <x:v>On Target</x:v>
      </x:c>
      <x:c r="H29" s="38" t="str">
        <x:v>Lina</x:v>
      </x:c>
      <x:c r="I29" s="38" t="str">
        <x:v>SIEM</x:v>
      </x:c>
      <x:c r="J29" s="38" t="str">
        <x:v>MEAS-EVD-005-1</x:v>
      </x:c>
      <x:c r="K29" s="38" t="str">
        <x:v>Synthetic historical measurement.</x:v>
      </x:c>
    </x:row>
    <x:row r="30">
      <x:c r="A30" s="38" t="str">
        <x:v>MEAS-DEL-005-2</x:v>
      </x:c>
      <x:c r="B30" s="38" t="str">
        <x:v>KRI-DEL-005</x:v>
      </x:c>
      <x:c r="C30" s="42" t="n">
        <x:v>46142</x:v>
      </x:c>
      <x:c r="D30" s="38" t="str">
        <x:v>Apr 2026</x:v>
      </x:c>
      <x:c r="E30" s="38" t="n">
        <x:v>3</x:v>
      </x:c>
      <x:c r="F30" s="38" t="str">
        <x:v>Count</x:v>
      </x:c>
      <x:c r="G30" s="38" t="str">
        <x:v>On Target</x:v>
      </x:c>
      <x:c r="H30" s="38" t="str">
        <x:v>Lina</x:v>
      </x:c>
      <x:c r="I30" s="38" t="str">
        <x:v>SIEM</x:v>
      </x:c>
      <x:c r="J30" s="38" t="str">
        <x:v>MEAS-EVD-005-2</x:v>
      </x:c>
      <x:c r="K30" s="38" t="str">
        <x:v>Synthetic historical measurement.</x:v>
      </x:c>
    </x:row>
    <x:row r="31">
      <x:c r="A31" s="38" t="str">
        <x:v>MEAS-DEL-005-3</x:v>
      </x:c>
      <x:c r="B31" s="38" t="str">
        <x:v>KRI-DEL-005</x:v>
      </x:c>
      <x:c r="C31" s="42" t="n">
        <x:v>46172</x:v>
      </x:c>
      <x:c r="D31" s="38" t="str">
        <x:v>May 2026</x:v>
      </x:c>
      <x:c r="E31" s="38" t="n">
        <x:v>2</x:v>
      </x:c>
      <x:c r="F31" s="38" t="str">
        <x:v>Count</x:v>
      </x:c>
      <x:c r="G31" s="38" t="str">
        <x:v>On Target</x:v>
      </x:c>
      <x:c r="H31" s="38" t="str">
        <x:v>Lina</x:v>
      </x:c>
      <x:c r="I31" s="38" t="str">
        <x:v>SIEM</x:v>
      </x:c>
      <x:c r="J31" s="38" t="str">
        <x:v>MEAS-EVD-005-3</x:v>
      </x:c>
      <x:c r="K31" s="38" t="str">
        <x:v>Synthetic historical measurement.</x:v>
      </x:c>
    </x:row>
    <x:row r="32">
      <x:c r="A32" s="38" t="str">
        <x:v>MEAS-DEL-005-4</x:v>
      </x:c>
      <x:c r="B32" s="38" t="str">
        <x:v>KRI-DEL-005</x:v>
      </x:c>
      <x:c r="C32" s="42" t="n">
        <x:v>46202</x:v>
      </x:c>
      <x:c r="D32" s="38" t="str">
        <x:v>Jun 2026</x:v>
      </x:c>
      <x:c r="E32" s="38" t="n">
        <x:v>1</x:v>
      </x:c>
      <x:c r="F32" s="38" t="str">
        <x:v>Count</x:v>
      </x:c>
      <x:c r="G32" s="38" t="str">
        <x:v>On Target</x:v>
      </x:c>
      <x:c r="H32" s="38" t="str">
        <x:v>Lina</x:v>
      </x:c>
      <x:c r="I32" s="38" t="str">
        <x:v>SIEM</x:v>
      </x:c>
      <x:c r="J32" s="38" t="str">
        <x:v>MEAS-EVD-005-4</x:v>
      </x:c>
      <x:c r="K32" s="38" t="str">
        <x:v>Synthetic historical measurement.</x:v>
      </x:c>
    </x:row>
    <x:row r="33">
      <x:c r="A33" s="38" t="str">
        <x:v>MEAS-DEL-005-5</x:v>
      </x:c>
      <x:c r="B33" s="38" t="str">
        <x:v>KRI-DEL-005</x:v>
      </x:c>
      <x:c r="C33" s="42" t="n">
        <x:v>46232</x:v>
      </x:c>
      <x:c r="D33" s="38" t="str">
        <x:v>Jul 2026</x:v>
      </x:c>
      <x:c r="E33" s="38" t="n">
        <x:v>0</x:v>
      </x:c>
      <x:c r="F33" s="38" t="str">
        <x:v>Count</x:v>
      </x:c>
      <x:c r="G33" s="38" t="str">
        <x:v>On Target</x:v>
      </x:c>
      <x:c r="H33" s="38" t="str">
        <x:v>Lina</x:v>
      </x:c>
      <x:c r="I33" s="38" t="str">
        <x:v>SIEM</x:v>
      </x:c>
      <x:c r="J33" s="38" t="str">
        <x:v>MEAS-EVD-005-5</x:v>
      </x:c>
      <x:c r="K33" s="38" t="str">
        <x:v>Synthetic historical measurement.</x:v>
      </x:c>
    </x:row>
    <x:row r="34">
      <x:c r="A34" s="38" t="str">
        <x:v>MEAS-DEL-005-6</x:v>
      </x:c>
      <x:c r="B34" s="38" t="str">
        <x:v>KRI-DEL-005</x:v>
      </x:c>
      <x:c r="C34" s="42" t="n">
        <x:v>46262</x:v>
      </x:c>
      <x:c r="D34" s="38" t="str">
        <x:v>Aug 2026</x:v>
      </x:c>
      <x:c r="E34" s="38" t="n">
        <x:v>0</x:v>
      </x:c>
      <x:c r="F34" s="38" t="str">
        <x:v>Count</x:v>
      </x:c>
      <x:c r="G34" s="38" t="str">
        <x:v>On Target</x:v>
      </x:c>
      <x:c r="H34" s="38" t="str">
        <x:v>Lina</x:v>
      </x:c>
      <x:c r="I34" s="38" t="str">
        <x:v>SIEM</x:v>
      </x:c>
      <x:c r="J34" s="38" t="str">
        <x:v>MEAS-EVD-005-6</x:v>
      </x:c>
      <x:c r="K34" s="38" t="str">
        <x:v>Synthetic historical measurement.</x:v>
      </x:c>
    </x:row>
    <x:row r="35">
      <x:c r="A35" s="38" t="str">
        <x:v>MEAS-DEL-006-1</x:v>
      </x:c>
      <x:c r="B35" s="38" t="str">
        <x:v>KRI-DEL-006</x:v>
      </x:c>
      <x:c r="C35" s="42" t="n">
        <x:v>46112</x:v>
      </x:c>
      <x:c r="D35" s="38" t="str">
        <x:v>Mar 2026</x:v>
      </x:c>
      <x:c r="E35" s="38" t="n">
        <x:v>8</x:v>
      </x:c>
      <x:c r="F35" s="38" t="str">
        <x:v>%</x:v>
      </x:c>
      <x:c r="G35" s="38" t="str">
        <x:v>Warning</x:v>
      </x:c>
      <x:c r="H35" s="38" t="str">
        <x:v>Fahad</x:v>
      </x:c>
      <x:c r="I35" s="38" t="str">
        <x:v>Manual Entry</x:v>
      </x:c>
      <x:c r="J35" s="38" t="str">
        <x:v>MEAS-EVD-006-1</x:v>
      </x:c>
      <x:c r="K35" s="38" t="str">
        <x:v>Synthetic historical measurement.</x:v>
      </x:c>
    </x:row>
    <x:row r="36">
      <x:c r="A36" s="38" t="str">
        <x:v>MEAS-DEL-006-2</x:v>
      </x:c>
      <x:c r="B36" s="38" t="str">
        <x:v>KRI-DEL-006</x:v>
      </x:c>
      <x:c r="C36" s="42" t="n">
        <x:v>46142</x:v>
      </x:c>
      <x:c r="D36" s="38" t="str">
        <x:v>Apr 2026</x:v>
      </x:c>
      <x:c r="E36" s="38" t="n">
        <x:v>9</x:v>
      </x:c>
      <x:c r="F36" s="38" t="str">
        <x:v>%</x:v>
      </x:c>
      <x:c r="G36" s="38" t="str">
        <x:v>Warning</x:v>
      </x:c>
      <x:c r="H36" s="38" t="str">
        <x:v>Fahad</x:v>
      </x:c>
      <x:c r="I36" s="38" t="str">
        <x:v>Manual Entry</x:v>
      </x:c>
      <x:c r="J36" s="38" t="str">
        <x:v>MEAS-EVD-006-2</x:v>
      </x:c>
      <x:c r="K36" s="38" t="str">
        <x:v>Synthetic historical measurement.</x:v>
      </x:c>
    </x:row>
    <x:row r="37">
      <x:c r="A37" s="38" t="str">
        <x:v>MEAS-DEL-006-3</x:v>
      </x:c>
      <x:c r="B37" s="38" t="str">
        <x:v>KRI-DEL-006</x:v>
      </x:c>
      <x:c r="C37" s="42" t="n">
        <x:v>46172</x:v>
      </x:c>
      <x:c r="D37" s="38" t="str">
        <x:v>May 2026</x:v>
      </x:c>
      <x:c r="E37" s="38" t="n">
        <x:v>10</x:v>
      </x:c>
      <x:c r="F37" s="38" t="str">
        <x:v>%</x:v>
      </x:c>
      <x:c r="G37" s="38" t="str">
        <x:v>Critical</x:v>
      </x:c>
      <x:c r="H37" s="38" t="str">
        <x:v>Fahad</x:v>
      </x:c>
      <x:c r="I37" s="38" t="str">
        <x:v>Manual Entry</x:v>
      </x:c>
      <x:c r="J37" s="38" t="str">
        <x:v>MEAS-EVD-006-3</x:v>
      </x:c>
      <x:c r="K37" s="38" t="str">
        <x:v>Synthetic historical measurement.</x:v>
      </x:c>
    </x:row>
    <x:row r="38">
      <x:c r="A38" s="38" t="str">
        <x:v>MEAS-DEL-006-4</x:v>
      </x:c>
      <x:c r="B38" s="38" t="str">
        <x:v>KRI-DEL-006</x:v>
      </x:c>
      <x:c r="C38" s="42" t="n">
        <x:v>46202</x:v>
      </x:c>
      <x:c r="D38" s="38" t="str">
        <x:v>Jun 2026</x:v>
      </x:c>
      <x:c r="E38" s="38" t="n">
        <x:v>11</x:v>
      </x:c>
      <x:c r="F38" s="38" t="str">
        <x:v>%</x:v>
      </x:c>
      <x:c r="G38" s="38" t="str">
        <x:v>Critical</x:v>
      </x:c>
      <x:c r="H38" s="38" t="str">
        <x:v>Fahad</x:v>
      </x:c>
      <x:c r="I38" s="38" t="str">
        <x:v>Manual Entry</x:v>
      </x:c>
      <x:c r="J38" s="38" t="str">
        <x:v>MEAS-EVD-006-4</x:v>
      </x:c>
      <x:c r="K38" s="38" t="str">
        <x:v>Synthetic historical measurement.</x:v>
      </x:c>
    </x:row>
    <x:row r="39">
      <x:c r="A39" s="38" t="str">
        <x:v>MEAS-DEL-006-5</x:v>
      </x:c>
      <x:c r="B39" s="38" t="str">
        <x:v>KRI-DEL-006</x:v>
      </x:c>
      <x:c r="C39" s="42" t="n">
        <x:v>46232</x:v>
      </x:c>
      <x:c r="D39" s="38" t="str">
        <x:v>Jul 2026</x:v>
      </x:c>
      <x:c r="E39" s="38" t="n">
        <x:v>12</x:v>
      </x:c>
      <x:c r="F39" s="38" t="str">
        <x:v>%</x:v>
      </x:c>
      <x:c r="G39" s="38" t="str">
        <x:v>Critical</x:v>
      </x:c>
      <x:c r="H39" s="38" t="str">
        <x:v>Fahad</x:v>
      </x:c>
      <x:c r="I39" s="38" t="str">
        <x:v>Manual Entry</x:v>
      </x:c>
      <x:c r="J39" s="38" t="str">
        <x:v>MEAS-EVD-006-5</x:v>
      </x:c>
      <x:c r="K39" s="38" t="str">
        <x:v>Synthetic historical measurement.</x:v>
      </x:c>
    </x:row>
    <x:row r="40">
      <x:c r="A40" s="38" t="str">
        <x:v>MEAS-DEL-006-6</x:v>
      </x:c>
      <x:c r="B40" s="38" t="str">
        <x:v>KRI-DEL-006</x:v>
      </x:c>
      <x:c r="C40" s="42" t="n">
        <x:v>46262</x:v>
      </x:c>
      <x:c r="D40" s="38" t="str">
        <x:v>Aug 2026</x:v>
      </x:c>
      <x:c r="E40" s="38" t="n">
        <x:v>13</x:v>
      </x:c>
      <x:c r="F40" s="38" t="str">
        <x:v>%</x:v>
      </x:c>
      <x:c r="G40" s="38" t="str">
        <x:v>Critical</x:v>
      </x:c>
      <x:c r="H40" s="38" t="str">
        <x:v>Fahad</x:v>
      </x:c>
      <x:c r="I40" s="38" t="str">
        <x:v>Manual Entry</x:v>
      </x:c>
      <x:c r="J40" s="38" t="str">
        <x:v>MEAS-EVD-006-6</x:v>
      </x:c>
      <x:c r="K40" s="38" t="str">
        <x:v>Synthetic historical measurement.</x:v>
      </x:c>
    </x:row>
    <x:row r="41">
      <x:c r="A41" s="38" t="str">
        <x:v>MEAS-DEL-007-1</x:v>
      </x:c>
      <x:c r="B41" s="38" t="str">
        <x:v>KRI-DEL-007</x:v>
      </x:c>
      <x:c r="C41" s="42" t="n">
        <x:v>46112</x:v>
      </x:c>
      <x:c r="D41" s="38" t="str">
        <x:v>Mar 2026</x:v>
      </x:c>
      <x:c r="E41" s="38" t="n">
        <x:v>9</x:v>
      </x:c>
      <x:c r="F41" s="38" t="str">
        <x:v>Count</x:v>
      </x:c>
      <x:c r="G41" s="38" t="str">
        <x:v>On Target</x:v>
      </x:c>
      <x:c r="H41" s="38" t="str">
        <x:v>Sara</x:v>
      </x:c>
      <x:c r="I41" s="38" t="str">
        <x:v>Excel Import</x:v>
      </x:c>
      <x:c r="J41" s="38" t="str">
        <x:v>MEAS-EVD-007-1</x:v>
      </x:c>
      <x:c r="K41" s="38" t="str">
        <x:v>Synthetic historical measurement.</x:v>
      </x:c>
    </x:row>
    <x:row r="42">
      <x:c r="A42" s="38" t="str">
        <x:v>MEAS-DEL-007-2</x:v>
      </x:c>
      <x:c r="B42" s="38" t="str">
        <x:v>KRI-DEL-007</x:v>
      </x:c>
      <x:c r="C42" s="42" t="n">
        <x:v>46142</x:v>
      </x:c>
      <x:c r="D42" s="38" t="str">
        <x:v>Apr 2026</x:v>
      </x:c>
      <x:c r="E42" s="38" t="n">
        <x:v>8</x:v>
      </x:c>
      <x:c r="F42" s="38" t="str">
        <x:v>Count</x:v>
      </x:c>
      <x:c r="G42" s="38" t="str">
        <x:v>On Target</x:v>
      </x:c>
      <x:c r="H42" s="38" t="str">
        <x:v>Sara</x:v>
      </x:c>
      <x:c r="I42" s="38" t="str">
        <x:v>Excel Import</x:v>
      </x:c>
      <x:c r="J42" s="38" t="str">
        <x:v>MEAS-EVD-007-2</x:v>
      </x:c>
      <x:c r="K42" s="38" t="str">
        <x:v>Synthetic historical measurement.</x:v>
      </x:c>
    </x:row>
    <x:row r="43">
      <x:c r="A43" s="38" t="str">
        <x:v>MEAS-DEL-007-3</x:v>
      </x:c>
      <x:c r="B43" s="38" t="str">
        <x:v>KRI-DEL-007</x:v>
      </x:c>
      <x:c r="C43" s="42" t="n">
        <x:v>46172</x:v>
      </x:c>
      <x:c r="D43" s="38" t="str">
        <x:v>May 2026</x:v>
      </x:c>
      <x:c r="E43" s="38" t="n">
        <x:v>7</x:v>
      </x:c>
      <x:c r="F43" s="38" t="str">
        <x:v>Count</x:v>
      </x:c>
      <x:c r="G43" s="38" t="str">
        <x:v>On Target</x:v>
      </x:c>
      <x:c r="H43" s="38" t="str">
        <x:v>Sara</x:v>
      </x:c>
      <x:c r="I43" s="38" t="str">
        <x:v>Excel Import</x:v>
      </x:c>
      <x:c r="J43" s="38" t="str">
        <x:v>MEAS-EVD-007-3</x:v>
      </x:c>
      <x:c r="K43" s="38" t="str">
        <x:v>Synthetic historical measurement.</x:v>
      </x:c>
    </x:row>
    <x:row r="44">
      <x:c r="A44" s="38" t="str">
        <x:v>MEAS-DEL-007-4</x:v>
      </x:c>
      <x:c r="B44" s="38" t="str">
        <x:v>KRI-DEL-007</x:v>
      </x:c>
      <x:c r="C44" s="42" t="n">
        <x:v>46202</x:v>
      </x:c>
      <x:c r="D44" s="38" t="str">
        <x:v>Jun 2026</x:v>
      </x:c>
      <x:c r="E44" s="38" t="n">
        <x:v>6</x:v>
      </x:c>
      <x:c r="F44" s="38" t="str">
        <x:v>Count</x:v>
      </x:c>
      <x:c r="G44" s="38" t="str">
        <x:v>On Target</x:v>
      </x:c>
      <x:c r="H44" s="38" t="str">
        <x:v>Sara</x:v>
      </x:c>
      <x:c r="I44" s="38" t="str">
        <x:v>Excel Import</x:v>
      </x:c>
      <x:c r="J44" s="38" t="str">
        <x:v>MEAS-EVD-007-4</x:v>
      </x:c>
      <x:c r="K44" s="38" t="str">
        <x:v>Synthetic historical measurement.</x:v>
      </x:c>
    </x:row>
    <x:row r="45">
      <x:c r="A45" s="38" t="str">
        <x:v>MEAS-DEL-007-5</x:v>
      </x:c>
      <x:c r="B45" s="38" t="str">
        <x:v>KRI-DEL-007</x:v>
      </x:c>
      <x:c r="C45" s="42" t="n">
        <x:v>46232</x:v>
      </x:c>
      <x:c r="D45" s="38" t="str">
        <x:v>Jul 2026</x:v>
      </x:c>
      <x:c r="E45" s="38" t="n">
        <x:v>5</x:v>
      </x:c>
      <x:c r="F45" s="38" t="str">
        <x:v>Count</x:v>
      </x:c>
      <x:c r="G45" s="38" t="str">
        <x:v>On Target</x:v>
      </x:c>
      <x:c r="H45" s="38" t="str">
        <x:v>Sara</x:v>
      </x:c>
      <x:c r="I45" s="38" t="str">
        <x:v>Excel Import</x:v>
      </x:c>
      <x:c r="J45" s="38" t="str">
        <x:v>MEAS-EVD-007-5</x:v>
      </x:c>
      <x:c r="K45" s="38" t="str">
        <x:v>Synthetic historical measurement.</x:v>
      </x:c>
    </x:row>
    <x:row r="46">
      <x:c r="A46" s="38" t="str">
        <x:v>MEAS-DEL-007-6</x:v>
      </x:c>
      <x:c r="B46" s="38" t="str">
        <x:v>KRI-DEL-007</x:v>
      </x:c>
      <x:c r="C46" s="42" t="n">
        <x:v>46262</x:v>
      </x:c>
      <x:c r="D46" s="38" t="str">
        <x:v>Aug 2026</x:v>
      </x:c>
      <x:c r="E46" s="38" t="n">
        <x:v>4</x:v>
      </x:c>
      <x:c r="F46" s="38" t="str">
        <x:v>Count</x:v>
      </x:c>
      <x:c r="G46" s="38" t="str">
        <x:v>On Target</x:v>
      </x:c>
      <x:c r="H46" s="38" t="str">
        <x:v>Sara</x:v>
      </x:c>
      <x:c r="I46" s="38" t="str">
        <x:v>Excel Import</x:v>
      </x:c>
      <x:c r="J46" s="38" t="str">
        <x:v>MEAS-EVD-007-6</x:v>
      </x:c>
      <x:c r="K46" s="38" t="str">
        <x:v>Synthetic historical measurement.</x:v>
      </x:c>
    </x:row>
    <x:row r="47">
      <x:c r="A47" s="38" t="str">
        <x:v>MEAS-DEL-008-1</x:v>
      </x:c>
      <x:c r="B47" s="38" t="str">
        <x:v>KRI-DEL-008</x:v>
      </x:c>
      <x:c r="C47" s="42" t="n">
        <x:v>46112</x:v>
      </x:c>
      <x:c r="D47" s="38" t="str">
        <x:v>Mar 2026</x:v>
      </x:c>
      <x:c r="E47" s="38" t="n">
        <x:v>0</x:v>
      </x:c>
      <x:c r="F47" s="38" t="str">
        <x:v>Count</x:v>
      </x:c>
      <x:c r="G47" s="38" t="str">
        <x:v>On Target</x:v>
      </x:c>
      <x:c r="H47" s="38" t="str">
        <x:v>Reem</x:v>
      </x:c>
      <x:c r="I47" s="38" t="str">
        <x:v>API</x:v>
      </x:c>
      <x:c r="J47" s="38" t="str">
        <x:v>MEAS-EVD-008-1</x:v>
      </x:c>
      <x:c r="K47" s="38" t="str">
        <x:v>Synthetic historical measurement.</x:v>
      </x:c>
    </x:row>
    <x:row r="48">
      <x:c r="A48" s="38" t="str">
        <x:v>MEAS-DEL-008-2</x:v>
      </x:c>
      <x:c r="B48" s="38" t="str">
        <x:v>KRI-DEL-008</x:v>
      </x:c>
      <x:c r="C48" s="42" t="n">
        <x:v>46142</x:v>
      </x:c>
      <x:c r="D48" s="38" t="str">
        <x:v>Apr 2026</x:v>
      </x:c>
      <x:c r="E48" s="38" t="n">
        <x:v>0</x:v>
      </x:c>
      <x:c r="F48" s="38" t="str">
        <x:v>Count</x:v>
      </x:c>
      <x:c r="G48" s="38" t="str">
        <x:v>On Target</x:v>
      </x:c>
      <x:c r="H48" s="38" t="str">
        <x:v>Reem</x:v>
      </x:c>
      <x:c r="I48" s="38" t="str">
        <x:v>API</x:v>
      </x:c>
      <x:c r="J48" s="38" t="str">
        <x:v>MEAS-EVD-008-2</x:v>
      </x:c>
      <x:c r="K48" s="38" t="str">
        <x:v>Synthetic historical measurement.</x:v>
      </x:c>
    </x:row>
    <x:row r="49">
      <x:c r="A49" s="38" t="str">
        <x:v>MEAS-DEL-008-3</x:v>
      </x:c>
      <x:c r="B49" s="38" t="str">
        <x:v>KRI-DEL-008</x:v>
      </x:c>
      <x:c r="C49" s="42" t="n">
        <x:v>46172</x:v>
      </x:c>
      <x:c r="D49" s="38" t="str">
        <x:v>May 2026</x:v>
      </x:c>
      <x:c r="E49" s="38" t="n">
        <x:v>0</x:v>
      </x:c>
      <x:c r="F49" s="38" t="str">
        <x:v>Count</x:v>
      </x:c>
      <x:c r="G49" s="38" t="str">
        <x:v>On Target</x:v>
      </x:c>
      <x:c r="H49" s="38" t="str">
        <x:v>Reem</x:v>
      </x:c>
      <x:c r="I49" s="38" t="str">
        <x:v>API</x:v>
      </x:c>
      <x:c r="J49" s="38" t="str">
        <x:v>MEAS-EVD-008-3</x:v>
      </x:c>
      <x:c r="K49" s="38" t="str">
        <x:v>Synthetic historical measurement.</x:v>
      </x:c>
    </x:row>
    <x:row r="50">
      <x:c r="A50" s="38" t="str">
        <x:v>MEAS-DEL-008-4</x:v>
      </x:c>
      <x:c r="B50" s="38" t="str">
        <x:v>KRI-DEL-008</x:v>
      </x:c>
      <x:c r="C50" s="42" t="n">
        <x:v>46202</x:v>
      </x:c>
      <x:c r="D50" s="38" t="str">
        <x:v>Jun 2026</x:v>
      </x:c>
      <x:c r="E50" s="38" t="n">
        <x:v>0</x:v>
      </x:c>
      <x:c r="F50" s="38" t="str">
        <x:v>Count</x:v>
      </x:c>
      <x:c r="G50" s="38" t="str">
        <x:v>On Target</x:v>
      </x:c>
      <x:c r="H50" s="38" t="str">
        <x:v>Reem</x:v>
      </x:c>
      <x:c r="I50" s="38" t="str">
        <x:v>API</x:v>
      </x:c>
      <x:c r="J50" s="38" t="str">
        <x:v>MEAS-EVD-008-4</x:v>
      </x:c>
      <x:c r="K50" s="38" t="str">
        <x:v>Synthetic historical measurement.</x:v>
      </x:c>
    </x:row>
    <x:row r="51">
      <x:c r="A51" s="38" t="str">
        <x:v>MEAS-DEL-008-5</x:v>
      </x:c>
      <x:c r="B51" s="38" t="str">
        <x:v>KRI-DEL-008</x:v>
      </x:c>
      <x:c r="C51" s="42" t="n">
        <x:v>46232</x:v>
      </x:c>
      <x:c r="D51" s="38" t="str">
        <x:v>Jul 2026</x:v>
      </x:c>
      <x:c r="E51" s="38" t="n">
        <x:v>1</x:v>
      </x:c>
      <x:c r="F51" s="38" t="str">
        <x:v>Count</x:v>
      </x:c>
      <x:c r="G51" s="38" t="str">
        <x:v>Warning</x:v>
      </x:c>
      <x:c r="H51" s="38" t="str">
        <x:v>Reem</x:v>
      </x:c>
      <x:c r="I51" s="38" t="str">
        <x:v>API</x:v>
      </x:c>
      <x:c r="J51" s="38" t="str">
        <x:v>MEAS-EVD-008-5</x:v>
      </x:c>
      <x:c r="K51" s="38" t="str">
        <x:v>Synthetic historical measurement.</x:v>
      </x:c>
    </x:row>
    <x:row r="52">
      <x:c r="A52" s="38" t="str">
        <x:v>MEAS-DEL-008-6</x:v>
      </x:c>
      <x:c r="B52" s="38" t="str">
        <x:v>KRI-DEL-008</x:v>
      </x:c>
      <x:c r="C52" s="42" t="n">
        <x:v>46262</x:v>
      </x:c>
      <x:c r="D52" s="38" t="str">
        <x:v>Aug 2026</x:v>
      </x:c>
      <x:c r="E52" s="38" t="n">
        <x:v>2</x:v>
      </x:c>
      <x:c r="F52" s="38" t="str">
        <x:v>Count</x:v>
      </x:c>
      <x:c r="G52" s="38" t="str">
        <x:v>Warning</x:v>
      </x:c>
      <x:c r="H52" s="38" t="str">
        <x:v>Reem</x:v>
      </x:c>
      <x:c r="I52" s="38" t="str">
        <x:v>API</x:v>
      </x:c>
      <x:c r="J52" s="38" t="str">
        <x:v>MEAS-EVD-008-6</x:v>
      </x:c>
      <x:c r="K52" s="38" t="str">
        <x:v>Synthetic historical measurement.</x:v>
      </x:c>
    </x:row>
    <x:row r="53">
      <x:c r="A53" s="38" t="str">
        <x:v>MEAS-DEL-009-1</x:v>
      </x:c>
      <x:c r="B53" s="38" t="str">
        <x:v>KRI-DEL-009</x:v>
      </x:c>
      <x:c r="C53" s="42" t="n">
        <x:v>46112</x:v>
      </x:c>
      <x:c r="D53" s="38" t="str">
        <x:v>Mar 2026</x:v>
      </x:c>
      <x:c r="E53" s="38" t="n">
        <x:v>95</x:v>
      </x:c>
      <x:c r="F53" s="38" t="str">
        <x:v>%</x:v>
      </x:c>
      <x:c r="G53" s="38" t="str">
        <x:v>On Target</x:v>
      </x:c>
      <x:c r="H53" s="38" t="str">
        <x:v>Khalid</x:v>
      </x:c>
      <x:c r="I53" s="38" t="str">
        <x:v>SIEM</x:v>
      </x:c>
      <x:c r="J53" s="38" t="str">
        <x:v>MEAS-EVD-009-1</x:v>
      </x:c>
      <x:c r="K53" s="38" t="str">
        <x:v>Synthetic historical measurement.</x:v>
      </x:c>
    </x:row>
    <x:row r="54">
      <x:c r="A54" s="38" t="str">
        <x:v>MEAS-DEL-009-2</x:v>
      </x:c>
      <x:c r="B54" s="38" t="str">
        <x:v>KRI-DEL-009</x:v>
      </x:c>
      <x:c r="C54" s="42" t="n">
        <x:v>46142</x:v>
      </x:c>
      <x:c r="D54" s="38" t="str">
        <x:v>Apr 2026</x:v>
      </x:c>
      <x:c r="E54" s="38" t="n">
        <x:v>94</x:v>
      </x:c>
      <x:c r="F54" s="38" t="str">
        <x:v>%</x:v>
      </x:c>
      <x:c r="G54" s="38" t="str">
        <x:v>Warning</x:v>
      </x:c>
      <x:c r="H54" s="38" t="str">
        <x:v>Khalid</x:v>
      </x:c>
      <x:c r="I54" s="38" t="str">
        <x:v>SIEM</x:v>
      </x:c>
      <x:c r="J54" s="38" t="str">
        <x:v>MEAS-EVD-009-2</x:v>
      </x:c>
      <x:c r="K54" s="38" t="str">
        <x:v>Synthetic historical measurement.</x:v>
      </x:c>
    </x:row>
    <x:row r="55">
      <x:c r="A55" s="38" t="str">
        <x:v>MEAS-DEL-009-3</x:v>
      </x:c>
      <x:c r="B55" s="38" t="str">
        <x:v>KRI-DEL-009</x:v>
      </x:c>
      <x:c r="C55" s="42" t="n">
        <x:v>46172</x:v>
      </x:c>
      <x:c r="D55" s="38" t="str">
        <x:v>May 2026</x:v>
      </x:c>
      <x:c r="E55" s="38" t="n">
        <x:v>93</x:v>
      </x:c>
      <x:c r="F55" s="38" t="str">
        <x:v>%</x:v>
      </x:c>
      <x:c r="G55" s="38" t="str">
        <x:v>Warning</x:v>
      </x:c>
      <x:c r="H55" s="38" t="str">
        <x:v>Khalid</x:v>
      </x:c>
      <x:c r="I55" s="38" t="str">
        <x:v>SIEM</x:v>
      </x:c>
      <x:c r="J55" s="38" t="str">
        <x:v>MEAS-EVD-009-3</x:v>
      </x:c>
      <x:c r="K55" s="38" t="str">
        <x:v>Synthetic historical measurement.</x:v>
      </x:c>
    </x:row>
    <x:row r="56">
      <x:c r="A56" s="38" t="str">
        <x:v>MEAS-DEL-009-4</x:v>
      </x:c>
      <x:c r="B56" s="38" t="str">
        <x:v>KRI-DEL-009</x:v>
      </x:c>
      <x:c r="C56" s="42" t="n">
        <x:v>46202</x:v>
      </x:c>
      <x:c r="D56" s="38" t="str">
        <x:v>Jun 2026</x:v>
      </x:c>
      <x:c r="E56" s="38" t="n">
        <x:v>92</x:v>
      </x:c>
      <x:c r="F56" s="38" t="str">
        <x:v>%</x:v>
      </x:c>
      <x:c r="G56" s="38" t="str">
        <x:v>Warning</x:v>
      </x:c>
      <x:c r="H56" s="38" t="str">
        <x:v>Khalid</x:v>
      </x:c>
      <x:c r="I56" s="38" t="str">
        <x:v>SIEM</x:v>
      </x:c>
      <x:c r="J56" s="38" t="str">
        <x:v>MEAS-EVD-009-4</x:v>
      </x:c>
      <x:c r="K56" s="38" t="str">
        <x:v>Synthetic historical measurement.</x:v>
      </x:c>
    </x:row>
    <x:row r="57">
      <x:c r="A57" s="38" t="str">
        <x:v>MEAS-DEL-009-5</x:v>
      </x:c>
      <x:c r="B57" s="38" t="str">
        <x:v>KRI-DEL-009</x:v>
      </x:c>
      <x:c r="C57" s="42" t="n">
        <x:v>46232</x:v>
      </x:c>
      <x:c r="D57" s="38" t="str">
        <x:v>Jul 2026</x:v>
      </x:c>
      <x:c r="E57" s="38" t="n">
        <x:v>91</x:v>
      </x:c>
      <x:c r="F57" s="38" t="str">
        <x:v>%</x:v>
      </x:c>
      <x:c r="G57" s="38" t="str">
        <x:v>Warning</x:v>
      </x:c>
      <x:c r="H57" s="38" t="str">
        <x:v>Khalid</x:v>
      </x:c>
      <x:c r="I57" s="38" t="str">
        <x:v>SIEM</x:v>
      </x:c>
      <x:c r="J57" s="38" t="str">
        <x:v>MEAS-EVD-009-5</x:v>
      </x:c>
      <x:c r="K57" s="38" t="str">
        <x:v>Synthetic historical measurement.</x:v>
      </x:c>
    </x:row>
    <x:row r="58">
      <x:c r="A58" s="38" t="str">
        <x:v>MEAS-DEL-009-6</x:v>
      </x:c>
      <x:c r="B58" s="38" t="str">
        <x:v>KRI-DEL-009</x:v>
      </x:c>
      <x:c r="C58" s="42" t="n">
        <x:v>46262</x:v>
      </x:c>
      <x:c r="D58" s="38" t="str">
        <x:v>Aug 2026</x:v>
      </x:c>
      <x:c r="E58" s="38" t="n">
        <x:v>90</x:v>
      </x:c>
      <x:c r="F58" s="38" t="str">
        <x:v>%</x:v>
      </x:c>
      <x:c r="G58" s="38" t="str">
        <x:v>Warning</x:v>
      </x:c>
      <x:c r="H58" s="38" t="str">
        <x:v>Khalid</x:v>
      </x:c>
      <x:c r="I58" s="38" t="str">
        <x:v>SIEM</x:v>
      </x:c>
      <x:c r="J58" s="38" t="str">
        <x:v>MEAS-EVD-009-6</x:v>
      </x:c>
      <x:c r="K58" s="38" t="str">
        <x:v>Synthetic historical measurement.</x:v>
      </x:c>
    </x:row>
    <x:row r="59">
      <x:c r="A59" s="38" t="str">
        <x:v>MEAS-DEL-010-1</x:v>
      </x:c>
      <x:c r="B59" s="38" t="str">
        <x:v>KRI-DEL-010</x:v>
      </x:c>
      <x:c r="C59" s="42" t="n">
        <x:v>46112</x:v>
      </x:c>
      <x:c r="D59" s="38" t="str">
        <x:v>Mar 2026</x:v>
      </x:c>
      <x:c r="E59" s="38" t="n">
        <x:v>0</x:v>
      </x:c>
      <x:c r="F59" s="38" t="str">
        <x:v>Count</x:v>
      </x:c>
      <x:c r="G59" s="38" t="str">
        <x:v>On Target</x:v>
      </x:c>
      <x:c r="H59" s="38" t="str">
        <x:v>Huda</x:v>
      </x:c>
      <x:c r="I59" s="38" t="str">
        <x:v>Manual Entry</x:v>
      </x:c>
      <x:c r="J59" s="38" t="str">
        <x:v>MEAS-EVD-010-1</x:v>
      </x:c>
      <x:c r="K59" s="38" t="str">
        <x:v>Synthetic historical measurement.</x:v>
      </x:c>
    </x:row>
    <x:row r="60">
      <x:c r="A60" s="38" t="str">
        <x:v>MEAS-DEL-010-2</x:v>
      </x:c>
      <x:c r="B60" s="38" t="str">
        <x:v>KRI-DEL-010</x:v>
      </x:c>
      <x:c r="C60" s="42" t="n">
        <x:v>46142</x:v>
      </x:c>
      <x:c r="D60" s="38" t="str">
        <x:v>Apr 2026</x:v>
      </x:c>
      <x:c r="E60" s="38" t="n">
        <x:v>1</x:v>
      </x:c>
      <x:c r="F60" s="38" t="str">
        <x:v>Count</x:v>
      </x:c>
      <x:c r="G60" s="38" t="str">
        <x:v>Warning</x:v>
      </x:c>
      <x:c r="H60" s="38" t="str">
        <x:v>Huda</x:v>
      </x:c>
      <x:c r="I60" s="38" t="str">
        <x:v>Manual Entry</x:v>
      </x:c>
      <x:c r="J60" s="38" t="str">
        <x:v>MEAS-EVD-010-2</x:v>
      </x:c>
      <x:c r="K60" s="38" t="str">
        <x:v>Synthetic historical measurement.</x:v>
      </x:c>
    </x:row>
    <x:row r="61">
      <x:c r="A61" s="38" t="str">
        <x:v>MEAS-DEL-010-3</x:v>
      </x:c>
      <x:c r="B61" s="38" t="str">
        <x:v>KRI-DEL-010</x:v>
      </x:c>
      <x:c r="C61" s="42" t="n">
        <x:v>46172</x:v>
      </x:c>
      <x:c r="D61" s="38" t="str">
        <x:v>May 2026</x:v>
      </x:c>
      <x:c r="E61" s="38" t="n">
        <x:v>2</x:v>
      </x:c>
      <x:c r="F61" s="38" t="str">
        <x:v>Count</x:v>
      </x:c>
      <x:c r="G61" s="38" t="str">
        <x:v>Warning</x:v>
      </x:c>
      <x:c r="H61" s="38" t="str">
        <x:v>Huda</x:v>
      </x:c>
      <x:c r="I61" s="38" t="str">
        <x:v>Manual Entry</x:v>
      </x:c>
      <x:c r="J61" s="38" t="str">
        <x:v>MEAS-EVD-010-3</x:v>
      </x:c>
      <x:c r="K61" s="38" t="str">
        <x:v>Synthetic historical measurement.</x:v>
      </x:c>
    </x:row>
    <x:row r="62">
      <x:c r="A62" s="38" t="str">
        <x:v>MEAS-DEL-010-4</x:v>
      </x:c>
      <x:c r="B62" s="38" t="str">
        <x:v>KRI-DEL-010</x:v>
      </x:c>
      <x:c r="C62" s="42" t="n">
        <x:v>46202</x:v>
      </x:c>
      <x:c r="D62" s="38" t="str">
        <x:v>Jun 2026</x:v>
      </x:c>
      <x:c r="E62" s="38" t="n">
        <x:v>3</x:v>
      </x:c>
      <x:c r="F62" s="38" t="str">
        <x:v>Count</x:v>
      </x:c>
      <x:c r="G62" s="38" t="str">
        <x:v>Warning</x:v>
      </x:c>
      <x:c r="H62" s="38" t="str">
        <x:v>Huda</x:v>
      </x:c>
      <x:c r="I62" s="38" t="str">
        <x:v>Manual Entry</x:v>
      </x:c>
      <x:c r="J62" s="38" t="str">
        <x:v>MEAS-EVD-010-4</x:v>
      </x:c>
      <x:c r="K62" s="38" t="str">
        <x:v>Synthetic historical measurement.</x:v>
      </x:c>
    </x:row>
    <x:row r="63">
      <x:c r="A63" s="38" t="str">
        <x:v>MEAS-DEL-010-5</x:v>
      </x:c>
      <x:c r="B63" s="38" t="str">
        <x:v>KRI-DEL-010</x:v>
      </x:c>
      <x:c r="C63" s="42" t="n">
        <x:v>46232</x:v>
      </x:c>
      <x:c r="D63" s="38" t="str">
        <x:v>Jul 2026</x:v>
      </x:c>
      <x:c r="E63" s="38" t="n">
        <x:v>4</x:v>
      </x:c>
      <x:c r="F63" s="38" t="str">
        <x:v>Count</x:v>
      </x:c>
      <x:c r="G63" s="38" t="str">
        <x:v>Warning</x:v>
      </x:c>
      <x:c r="H63" s="38" t="str">
        <x:v>Huda</x:v>
      </x:c>
      <x:c r="I63" s="38" t="str">
        <x:v>Manual Entry</x:v>
      </x:c>
      <x:c r="J63" s="38" t="str">
        <x:v>MEAS-EVD-010-5</x:v>
      </x:c>
      <x:c r="K63" s="38" t="str">
        <x:v>Synthetic historical measurement.</x:v>
      </x:c>
    </x:row>
    <x:row r="64">
      <x:c r="A64" s="38" t="str">
        <x:v>MEAS-DEL-010-6</x:v>
      </x:c>
      <x:c r="B64" s="38" t="str">
        <x:v>KRI-DEL-010</x:v>
      </x:c>
      <x:c r="C64" s="42" t="n">
        <x:v>46262</x:v>
      </x:c>
      <x:c r="D64" s="38" t="str">
        <x:v>Aug 2026</x:v>
      </x:c>
      <x:c r="E64" s="38" t="n">
        <x:v>5</x:v>
      </x:c>
      <x:c r="F64" s="38" t="str">
        <x:v>Count</x:v>
      </x:c>
      <x:c r="G64" s="38" t="str">
        <x:v>Critical</x:v>
      </x:c>
      <x:c r="H64" s="38" t="str">
        <x:v>Huda</x:v>
      </x:c>
      <x:c r="I64" s="38" t="str">
        <x:v>Manual Entry</x:v>
      </x:c>
      <x:c r="J64" s="38" t="str">
        <x:v>MEAS-EVD-010-6</x:v>
      </x:c>
      <x:c r="K64" s="38" t="str">
        <x:v>Synthetic historical measurement.</x:v>
      </x:c>
    </x:row>
    <x:row r="65">
      <x:c r="A65" s="38" t="str">
        <x:v>MEAS-DEL-011-1</x:v>
      </x:c>
      <x:c r="B65" s="38" t="str">
        <x:v>KRI-DEL-011</x:v>
      </x:c>
      <x:c r="C65" s="42" t="n">
        <x:v>46112</x:v>
      </x:c>
      <x:c r="D65" s="38" t="str">
        <x:v>Mar 2026</x:v>
      </x:c>
      <x:c r="E65" s="38" t="n">
        <x:v>9</x:v>
      </x:c>
      <x:c r="F65" s="38" t="str">
        <x:v>Count</x:v>
      </x:c>
      <x:c r="G65" s="38" t="str">
        <x:v>On Target</x:v>
      </x:c>
      <x:c r="H65" s="38" t="str">
        <x:v>Bader</x:v>
      </x:c>
      <x:c r="I65" s="38" t="str">
        <x:v>Excel Import</x:v>
      </x:c>
      <x:c r="J65" s="38" t="str">
        <x:v>MEAS-EVD-011-1</x:v>
      </x:c>
      <x:c r="K65" s="38" t="str">
        <x:v>Synthetic historical measurement.</x:v>
      </x:c>
    </x:row>
    <x:row r="66">
      <x:c r="A66" s="38" t="str">
        <x:v>MEAS-DEL-011-2</x:v>
      </x:c>
      <x:c r="B66" s="38" t="str">
        <x:v>KRI-DEL-011</x:v>
      </x:c>
      <x:c r="C66" s="42" t="n">
        <x:v>46142</x:v>
      </x:c>
      <x:c r="D66" s="38" t="str">
        <x:v>Apr 2026</x:v>
      </x:c>
      <x:c r="E66" s="38" t="n">
        <x:v>8</x:v>
      </x:c>
      <x:c r="F66" s="38" t="str">
        <x:v>Count</x:v>
      </x:c>
      <x:c r="G66" s="38" t="str">
        <x:v>On Target</x:v>
      </x:c>
      <x:c r="H66" s="38" t="str">
        <x:v>Bader</x:v>
      </x:c>
      <x:c r="I66" s="38" t="str">
        <x:v>Excel Import</x:v>
      </x:c>
      <x:c r="J66" s="38" t="str">
        <x:v>MEAS-EVD-011-2</x:v>
      </x:c>
      <x:c r="K66" s="38" t="str">
        <x:v>Synthetic historical measurement.</x:v>
      </x:c>
    </x:row>
    <x:row r="67">
      <x:c r="A67" s="38" t="str">
        <x:v>MEAS-DEL-011-3</x:v>
      </x:c>
      <x:c r="B67" s="38" t="str">
        <x:v>KRI-DEL-011</x:v>
      </x:c>
      <x:c r="C67" s="42" t="n">
        <x:v>46172</x:v>
      </x:c>
      <x:c r="D67" s="38" t="str">
        <x:v>May 2026</x:v>
      </x:c>
      <x:c r="E67" s="38" t="n">
        <x:v>7</x:v>
      </x:c>
      <x:c r="F67" s="38" t="str">
        <x:v>Count</x:v>
      </x:c>
      <x:c r="G67" s="38" t="str">
        <x:v>On Target</x:v>
      </x:c>
      <x:c r="H67" s="38" t="str">
        <x:v>Bader</x:v>
      </x:c>
      <x:c r="I67" s="38" t="str">
        <x:v>Excel Import</x:v>
      </x:c>
      <x:c r="J67" s="38" t="str">
        <x:v>MEAS-EVD-011-3</x:v>
      </x:c>
      <x:c r="K67" s="38" t="str">
        <x:v>Synthetic historical measurement.</x:v>
      </x:c>
    </x:row>
    <x:row r="68">
      <x:c r="A68" s="38" t="str">
        <x:v>MEAS-DEL-011-4</x:v>
      </x:c>
      <x:c r="B68" s="38" t="str">
        <x:v>KRI-DEL-011</x:v>
      </x:c>
      <x:c r="C68" s="42" t="n">
        <x:v>46202</x:v>
      </x:c>
      <x:c r="D68" s="38" t="str">
        <x:v>Jun 2026</x:v>
      </x:c>
      <x:c r="E68" s="38" t="n">
        <x:v>6</x:v>
      </x:c>
      <x:c r="F68" s="38" t="str">
        <x:v>Count</x:v>
      </x:c>
      <x:c r="G68" s="38" t="str">
        <x:v>On Target</x:v>
      </x:c>
      <x:c r="H68" s="38" t="str">
        <x:v>Bader</x:v>
      </x:c>
      <x:c r="I68" s="38" t="str">
        <x:v>Excel Import</x:v>
      </x:c>
      <x:c r="J68" s="38" t="str">
        <x:v>MEAS-EVD-011-4</x:v>
      </x:c>
      <x:c r="K68" s="38" t="str">
        <x:v>Synthetic historical measurement.</x:v>
      </x:c>
    </x:row>
    <x:row r="69">
      <x:c r="A69" s="38" t="str">
        <x:v>MEAS-DEL-011-5</x:v>
      </x:c>
      <x:c r="B69" s="38" t="str">
        <x:v>KRI-DEL-011</x:v>
      </x:c>
      <x:c r="C69" s="42" t="n">
        <x:v>46232</x:v>
      </x:c>
      <x:c r="D69" s="38" t="str">
        <x:v>Jul 2026</x:v>
      </x:c>
      <x:c r="E69" s="38" t="n">
        <x:v>5</x:v>
      </x:c>
      <x:c r="F69" s="38" t="str">
        <x:v>Count</x:v>
      </x:c>
      <x:c r="G69" s="38" t="str">
        <x:v>On Target</x:v>
      </x:c>
      <x:c r="H69" s="38" t="str">
        <x:v>Bader</x:v>
      </x:c>
      <x:c r="I69" s="38" t="str">
        <x:v>Excel Import</x:v>
      </x:c>
      <x:c r="J69" s="38" t="str">
        <x:v>MEAS-EVD-011-5</x:v>
      </x:c>
      <x:c r="K69" s="38" t="str">
        <x:v>Synthetic historical measurement.</x:v>
      </x:c>
    </x:row>
    <x:row r="70">
      <x:c r="A70" s="38" t="str">
        <x:v>MEAS-DEL-011-6</x:v>
      </x:c>
      <x:c r="B70" s="38" t="str">
        <x:v>KRI-DEL-011</x:v>
      </x:c>
      <x:c r="C70" s="42" t="n">
        <x:v>46262</x:v>
      </x:c>
      <x:c r="D70" s="38" t="str">
        <x:v>Aug 2026</x:v>
      </x:c>
      <x:c r="E70" s="38" t="n">
        <x:v>4</x:v>
      </x:c>
      <x:c r="F70" s="38" t="str">
        <x:v>Count</x:v>
      </x:c>
      <x:c r="G70" s="38" t="str">
        <x:v>On Target</x:v>
      </x:c>
      <x:c r="H70" s="38" t="str">
        <x:v>Bader</x:v>
      </x:c>
      <x:c r="I70" s="38" t="str">
        <x:v>Excel Import</x:v>
      </x:c>
      <x:c r="J70" s="38" t="str">
        <x:v>MEAS-EVD-011-6</x:v>
      </x:c>
      <x:c r="K70" s="38" t="str">
        <x:v>Synthetic historical measurement.</x:v>
      </x:c>
    </x:row>
    <x:row r="71">
      <x:c r="A71" s="38" t="str">
        <x:v>MEAS-DEL-012-1</x:v>
      </x:c>
      <x:c r="B71" s="38" t="str">
        <x:v>KRI-DEL-012</x:v>
      </x:c>
      <x:c r="C71" s="42" t="n">
        <x:v>46112</x:v>
      </x:c>
      <x:c r="D71" s="38" t="str">
        <x:v>Mar 2026</x:v>
      </x:c>
      <x:c r="E71" s="38" t="n">
        <x:v>0</x:v>
      </x:c>
      <x:c r="F71" s="38" t="str">
        <x:v>%</x:v>
      </x:c>
      <x:c r="G71" s="38" t="str">
        <x:v>On Target</x:v>
      </x:c>
      <x:c r="H71" s="38" t="str">
        <x:v>Abeer</x:v>
      </x:c>
      <x:c r="I71" s="38" t="str">
        <x:v>API</x:v>
      </x:c>
      <x:c r="J71" s="38" t="str">
        <x:v>MEAS-EVD-012-1</x:v>
      </x:c>
      <x:c r="K71" s="38" t="str">
        <x:v>Synthetic historical measurement.</x:v>
      </x:c>
    </x:row>
    <x:row r="72">
      <x:c r="A72" s="38" t="str">
        <x:v>MEAS-DEL-012-2</x:v>
      </x:c>
      <x:c r="B72" s="38" t="str">
        <x:v>KRI-DEL-012</x:v>
      </x:c>
      <x:c r="C72" s="42" t="n">
        <x:v>46142</x:v>
      </x:c>
      <x:c r="D72" s="38" t="str">
        <x:v>Apr 2026</x:v>
      </x:c>
      <x:c r="E72" s="38" t="n">
        <x:v>1</x:v>
      </x:c>
      <x:c r="F72" s="38" t="str">
        <x:v>%</x:v>
      </x:c>
      <x:c r="G72" s="38" t="str">
        <x:v>On Target</x:v>
      </x:c>
      <x:c r="H72" s="38" t="str">
        <x:v>Abeer</x:v>
      </x:c>
      <x:c r="I72" s="38" t="str">
        <x:v>API</x:v>
      </x:c>
      <x:c r="J72" s="38" t="str">
        <x:v>MEAS-EVD-012-2</x:v>
      </x:c>
      <x:c r="K72" s="38" t="str">
        <x:v>Synthetic historical measurement.</x:v>
      </x:c>
    </x:row>
    <x:row r="73">
      <x:c r="A73" s="38" t="str">
        <x:v>MEAS-DEL-012-3</x:v>
      </x:c>
      <x:c r="B73" s="38" t="str">
        <x:v>KRI-DEL-012</x:v>
      </x:c>
      <x:c r="C73" s="42" t="n">
        <x:v>46172</x:v>
      </x:c>
      <x:c r="D73" s="38" t="str">
        <x:v>May 2026</x:v>
      </x:c>
      <x:c r="E73" s="38" t="n">
        <x:v>2</x:v>
      </x:c>
      <x:c r="F73" s="38" t="str">
        <x:v>%</x:v>
      </x:c>
      <x:c r="G73" s="38" t="str">
        <x:v>On Target</x:v>
      </x:c>
      <x:c r="H73" s="38" t="str">
        <x:v>Abeer</x:v>
      </x:c>
      <x:c r="I73" s="38" t="str">
        <x:v>API</x:v>
      </x:c>
      <x:c r="J73" s="38" t="str">
        <x:v>MEAS-EVD-012-3</x:v>
      </x:c>
      <x:c r="K73" s="38" t="str">
        <x:v>Synthetic historical measurement.</x:v>
      </x:c>
    </x:row>
    <x:row r="74">
      <x:c r="A74" s="38" t="str">
        <x:v>MEAS-DEL-012-4</x:v>
      </x:c>
      <x:c r="B74" s="38" t="str">
        <x:v>KRI-DEL-012</x:v>
      </x:c>
      <x:c r="C74" s="42" t="n">
        <x:v>46202</x:v>
      </x:c>
      <x:c r="D74" s="38" t="str">
        <x:v>Jun 2026</x:v>
      </x:c>
      <x:c r="E74" s="38" t="n">
        <x:v>3</x:v>
      </x:c>
      <x:c r="F74" s="38" t="str">
        <x:v>%</x:v>
      </x:c>
      <x:c r="G74" s="38" t="str">
        <x:v>Warning</x:v>
      </x:c>
      <x:c r="H74" s="38" t="str">
        <x:v>Abeer</x:v>
      </x:c>
      <x:c r="I74" s="38" t="str">
        <x:v>API</x:v>
      </x:c>
      <x:c r="J74" s="38" t="str">
        <x:v>MEAS-EVD-012-4</x:v>
      </x:c>
      <x:c r="K74" s="38" t="str">
        <x:v>Synthetic historical measurement.</x:v>
      </x:c>
    </x:row>
    <x:row r="75">
      <x:c r="A75" s="38" t="str">
        <x:v>MEAS-DEL-012-5</x:v>
      </x:c>
      <x:c r="B75" s="38" t="str">
        <x:v>KRI-DEL-012</x:v>
      </x:c>
      <x:c r="C75" s="42" t="n">
        <x:v>46232</x:v>
      </x:c>
      <x:c r="D75" s="38" t="str">
        <x:v>Jul 2026</x:v>
      </x:c>
      <x:c r="E75" s="38" t="n">
        <x:v>4</x:v>
      </x:c>
      <x:c r="F75" s="38" t="str">
        <x:v>%</x:v>
      </x:c>
      <x:c r="G75" s="38" t="str">
        <x:v>Warning</x:v>
      </x:c>
      <x:c r="H75" s="38" t="str">
        <x:v>Abeer</x:v>
      </x:c>
      <x:c r="I75" s="38" t="str">
        <x:v>API</x:v>
      </x:c>
      <x:c r="J75" s="38" t="str">
        <x:v>MEAS-EVD-012-5</x:v>
      </x:c>
      <x:c r="K75" s="38" t="str">
        <x:v>Synthetic historical measurement.</x:v>
      </x:c>
    </x:row>
    <x:row r="76">
      <x:c r="A76" s="38" t="str">
        <x:v>MEAS-DEL-012-6</x:v>
      </x:c>
      <x:c r="B76" s="38" t="str">
        <x:v>KRI-DEL-012</x:v>
      </x:c>
      <x:c r="C76" s="42" t="n">
        <x:v>46262</x:v>
      </x:c>
      <x:c r="D76" s="38" t="str">
        <x:v>Aug 2026</x:v>
      </x:c>
      <x:c r="E76" s="38" t="n">
        <x:v>5</x:v>
      </x:c>
      <x:c r="F76" s="38" t="str">
        <x:v>%</x:v>
      </x:c>
      <x:c r="G76" s="38" t="str">
        <x:v>Warning</x:v>
      </x:c>
      <x:c r="H76" s="38" t="str">
        <x:v>Abeer</x:v>
      </x:c>
      <x:c r="I76" s="38" t="str">
        <x:v>API</x:v>
      </x:c>
      <x:c r="J76" s="38" t="str">
        <x:v>MEAS-EVD-012-6</x:v>
      </x:c>
      <x:c r="K76" s="38" t="str">
        <x:v>Synthetic historical measurement.</x:v>
      </x:c>
    </x:row>
  </x:sheetData>
  <x:mergeCells>
    <x:mergeCell ref="A1:K1"/>
    <x:mergeCell ref="A2:K2"/>
  </x:mergeCells>
  <x:conditionalFormatting sqref="A5:K76">
    <x:cfRule type="expression" dxfId="19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ebf7843d12a4ddb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9" hidden="0" customWidth="1"/>
    <x:col min="2" max="2" width="20" hidden="0" customWidth="1"/>
    <x:col min="3" max="3" width="21" hidden="0" customWidth="1"/>
    <x:col min="4" max="4" width="21" hidden="0" customWidth="1"/>
    <x:col min="5" max="5" width="38" hidden="0" customWidth="1"/>
    <x:col min="6" max="6" width="48" hidden="0" customWidth="1"/>
    <x:col min="7" max="7" width="18" hidden="0" customWidth="1"/>
    <x:col min="8" max="8" width="17" hidden="0" customWidth="1"/>
    <x:col min="9" max="9" width="18" hidden="0" customWidth="1"/>
    <x:col min="10" max="10" width="16" hidden="0" customWidth="1"/>
    <x:col min="11" max="11" width="17" hidden="0" customWidth="1"/>
    <x:col min="12" max="12" width="24" hidden="0" customWidth="1"/>
  </x:cols>
  <x:sheetData>
    <x:row r="1" ht="34" customHeight="1">
      <x:c r="A1" s="5" t="str">
        <x:v>Dell Evidence Register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8" customHeight="1">
      <x:c r="A2" s="13" t="str">
        <x:v>Synthetic evidence metadata linked to records. No confidential source evidence is included.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2" customHeight="1">
      <x:c r="A4" s="30" t="str">
        <x:v>Evidence ID</x:v>
      </x:c>
      <x:c r="B4" s="30" t="str">
        <x:v>Related Module</x:v>
      </x:c>
      <x:c r="C4" s="30" t="str">
        <x:v>Related Record ID</x:v>
      </x:c>
      <x:c r="D4" s="30" t="str">
        <x:v>Evidence Type</x:v>
      </x:c>
      <x:c r="E4" s="30" t="str">
        <x:v>File Name / Reference</x:v>
      </x:c>
      <x:c r="F4" s="30" t="str">
        <x:v>Evidence Description</x:v>
      </x:c>
      <x:c r="G4" s="30" t="str">
        <x:v>Evidence Owner</x:v>
      </x:c>
      <x:c r="H4" s="30" t="str">
        <x:v>Collection Date</x:v>
      </x:c>
      <x:c r="I4" s="30" t="str">
        <x:v>Review Status</x:v>
      </x:c>
      <x:c r="J4" s="30" t="str">
        <x:v>Reviewed By</x:v>
      </x:c>
      <x:c r="K4" s="30" t="str">
        <x:v>Retention Date</x:v>
      </x:c>
      <x:c r="L4" s="30" t="str">
        <x:v>Information Classification</x:v>
      </x:c>
    </x:row>
    <x:row r="5">
      <x:c r="A5" s="38" t="str">
        <x:v>EVD-DEL-001</x:v>
      </x:c>
      <x:c r="B5" s="38" t="str">
        <x:v>Risk Assessment</x:v>
      </x:c>
      <x:c r="C5" s="38" t="str">
        <x:v>RISK-DELL-001</x:v>
      </x:c>
      <x:c r="D5" s="38" t="str">
        <x:v>Audit Report</x:v>
      </x:c>
      <x:c r="E5" s="38" t="str">
        <x:v>synthetic_risk-dell-001_evidence.pdf</x:v>
      </x:c>
      <x:c r="F5" s="38" t="str">
        <x:v>Synthetic evidence metadata only; no real file is included.</x:v>
      </x:c>
      <x:c r="G5" s="38" t="str">
        <x:v>Omar</x:v>
      </x:c>
      <x:c r="H5" s="42" t="n">
        <x:v>46236</x:v>
      </x:c>
      <x:c r="I5" s="38" t="str">
        <x:v>Accepted</x:v>
      </x:c>
      <x:c r="J5" s="38" t="str">
        <x:v>Sara</x:v>
      </x:c>
      <x:c r="K5" s="42" t="n">
        <x:v>47483</x:v>
      </x:c>
      <x:c r="L5" s="38" t="str">
        <x:v>Internal</x:v>
      </x:c>
    </x:row>
    <x:row r="6">
      <x:c r="A6" s="38" t="str">
        <x:v>EVD-DEL-002</x:v>
      </x:c>
      <x:c r="B6" s="38" t="str">
        <x:v>Risk Assessment</x:v>
      </x:c>
      <x:c r="C6" s="38" t="str">
        <x:v>RISK-DELL-002</x:v>
      </x:c>
      <x:c r="D6" s="38" t="str">
        <x:v>Screenshot</x:v>
      </x:c>
      <x:c r="E6" s="38" t="str">
        <x:v>synthetic_risk-dell-002_evidence.pdf</x:v>
      </x:c>
      <x:c r="F6" s="38" t="str">
        <x:v>Synthetic evidence metadata only; no real file is included.</x:v>
      </x:c>
      <x:c r="G6" s="38" t="str">
        <x:v>Noura</x:v>
      </x:c>
      <x:c r="H6" s="42" t="n">
        <x:v>46237</x:v>
      </x:c>
      <x:c r="I6" s="38" t="str">
        <x:v>Needs Update</x:v>
      </x:c>
      <x:c r="J6" s="38" t="str">
        <x:v>Ahmed</x:v>
      </x:c>
      <x:c r="K6" s="42" t="n">
        <x:v>47483</x:v>
      </x:c>
      <x:c r="L6" s="38" t="str">
        <x:v>Internal</x:v>
      </x:c>
    </x:row>
    <x:row r="7">
      <x:c r="A7" s="38" t="str">
        <x:v>EVD-DEL-003</x:v>
      </x:c>
      <x:c r="B7" s="38" t="str">
        <x:v>Risk Assessment</x:v>
      </x:c>
      <x:c r="C7" s="38" t="str">
        <x:v>RISK-DELL-003</x:v>
      </x:c>
      <x:c r="D7" s="38" t="str">
        <x:v>Log Query</x:v>
      </x:c>
      <x:c r="E7" s="38" t="str">
        <x:v>synthetic_risk-dell-003_evidence.pdf</x:v>
      </x:c>
      <x:c r="F7" s="38" t="str">
        <x:v>Synthetic evidence metadata only; no real file is included.</x:v>
      </x:c>
      <x:c r="G7" s="38" t="str">
        <x:v>Mariam</x:v>
      </x:c>
      <x:c r="H7" s="42" t="n">
        <x:v>46238</x:v>
      </x:c>
      <x:c r="I7" s="38" t="str">
        <x:v>Pending Review</x:v>
      </x:c>
      <x:c r="J7" s="38" t="str">
        <x:v>Mariam</x:v>
      </x:c>
      <x:c r="K7" s="42" t="n">
        <x:v>47483</x:v>
      </x:c>
      <x:c r="L7" s="38" t="str">
        <x:v>Internal</x:v>
      </x:c>
    </x:row>
    <x:row r="8">
      <x:c r="A8" s="38" t="str">
        <x:v>EVD-DEL-004</x:v>
      </x:c>
      <x:c r="B8" s="38" t="str">
        <x:v>Risk Assessment</x:v>
      </x:c>
      <x:c r="C8" s="38" t="str">
        <x:v>RISK-DELL-004</x:v>
      </x:c>
      <x:c r="D8" s="38" t="str">
        <x:v>Approval Record</x:v>
      </x:c>
      <x:c r="E8" s="38" t="str">
        <x:v>synthetic_risk-dell-004_evidence.pdf</x:v>
      </x:c>
      <x:c r="F8" s="38" t="str">
        <x:v>Synthetic evidence metadata only; no real file is included.</x:v>
      </x:c>
      <x:c r="G8" s="38" t="str">
        <x:v>Ahmed</x:v>
      </x:c>
      <x:c r="H8" s="42" t="n">
        <x:v>46239</x:v>
      </x:c>
      <x:c r="I8" s="38" t="str">
        <x:v>Accepted</x:v>
      </x:c>
      <x:c r="J8" s="38" t="str">
        <x:v>Mohammed</x:v>
      </x:c>
      <x:c r="K8" s="42" t="n">
        <x:v>47483</x:v>
      </x:c>
      <x:c r="L8" s="38" t="str">
        <x:v>Internal</x:v>
      </x:c>
    </x:row>
    <x:row r="9">
      <x:c r="A9" s="38" t="str">
        <x:v>EVD-DEL-005</x:v>
      </x:c>
      <x:c r="B9" s="38" t="str">
        <x:v>Risk Assessment</x:v>
      </x:c>
      <x:c r="C9" s="38" t="str">
        <x:v>RISK-DELL-005</x:v>
      </x:c>
      <x:c r="D9" s="38" t="str">
        <x:v>Configuration Export</x:v>
      </x:c>
      <x:c r="E9" s="38" t="str">
        <x:v>synthetic_risk-dell-005_evidence.pdf</x:v>
      </x:c>
      <x:c r="F9" s="38" t="str">
        <x:v>Synthetic evidence metadata only; no real file is included.</x:v>
      </x:c>
      <x:c r="G9" s="38" t="str">
        <x:v>Lina</x:v>
      </x:c>
      <x:c r="H9" s="42" t="n">
        <x:v>46240</x:v>
      </x:c>
      <x:c r="I9" s="38" t="str">
        <x:v>Needs Update</x:v>
      </x:c>
      <x:c r="J9" s="38" t="str">
        <x:v>Sara</x:v>
      </x:c>
      <x:c r="K9" s="42" t="n">
        <x:v>47483</x:v>
      </x:c>
      <x:c r="L9" s="38" t="str">
        <x:v>Internal</x:v>
      </x:c>
    </x:row>
    <x:row r="10">
      <x:c r="A10" s="38" t="str">
        <x:v>EVD-DEL-006</x:v>
      </x:c>
      <x:c r="B10" s="38" t="str">
        <x:v>Risk Assessment</x:v>
      </x:c>
      <x:c r="C10" s="38" t="str">
        <x:v>RISK-DELL-006</x:v>
      </x:c>
      <x:c r="D10" s="38" t="str">
        <x:v>Audit Report</x:v>
      </x:c>
      <x:c r="E10" s="38" t="str">
        <x:v>synthetic_risk-dell-006_evidence.pdf</x:v>
      </x:c>
      <x:c r="F10" s="38" t="str">
        <x:v>Synthetic evidence metadata only; no real file is included.</x:v>
      </x:c>
      <x:c r="G10" s="38" t="str">
        <x:v>Fahad</x:v>
      </x:c>
      <x:c r="H10" s="42" t="n">
        <x:v>46241</x:v>
      </x:c>
      <x:c r="I10" s="38" t="str">
        <x:v>Pending Review</x:v>
      </x:c>
      <x:c r="J10" s="38" t="str">
        <x:v>Ahmed</x:v>
      </x:c>
      <x:c r="K10" s="42" t="n">
        <x:v>47483</x:v>
      </x:c>
      <x:c r="L10" s="38" t="str">
        <x:v>Internal</x:v>
      </x:c>
    </x:row>
    <x:row r="11">
      <x:c r="A11" s="38" t="str">
        <x:v>EVD-DEL-007</x:v>
      </x:c>
      <x:c r="B11" s="38" t="str">
        <x:v>Risk Assessment</x:v>
      </x:c>
      <x:c r="C11" s="38" t="str">
        <x:v>RISK-DELL-007</x:v>
      </x:c>
      <x:c r="D11" s="38" t="str">
        <x:v>Screenshot</x:v>
      </x:c>
      <x:c r="E11" s="38" t="str">
        <x:v>synthetic_risk-dell-007_evidence.pdf</x:v>
      </x:c>
      <x:c r="F11" s="38" t="str">
        <x:v>Synthetic evidence metadata only; no real file is included.</x:v>
      </x:c>
      <x:c r="G11" s="38" t="str">
        <x:v>Sara</x:v>
      </x:c>
      <x:c r="H11" s="42" t="n">
        <x:v>46242</x:v>
      </x:c>
      <x:c r="I11" s="38" t="str">
        <x:v>Accepted</x:v>
      </x:c>
      <x:c r="J11" s="38" t="str">
        <x:v>Mariam</x:v>
      </x:c>
      <x:c r="K11" s="42" t="n">
        <x:v>47483</x:v>
      </x:c>
      <x:c r="L11" s="38" t="str">
        <x:v>Internal</x:v>
      </x:c>
    </x:row>
    <x:row r="12">
      <x:c r="A12" s="38" t="str">
        <x:v>EVD-DEL-008</x:v>
      </x:c>
      <x:c r="B12" s="38" t="str">
        <x:v>Risk Assessment</x:v>
      </x:c>
      <x:c r="C12" s="38" t="str">
        <x:v>RISK-DELL-008</x:v>
      </x:c>
      <x:c r="D12" s="38" t="str">
        <x:v>Log Query</x:v>
      </x:c>
      <x:c r="E12" s="38" t="str">
        <x:v>synthetic_risk-dell-008_evidence.pdf</x:v>
      </x:c>
      <x:c r="F12" s="38" t="str">
        <x:v>Synthetic evidence metadata only; no real file is included.</x:v>
      </x:c>
      <x:c r="G12" s="38" t="str">
        <x:v>Reem</x:v>
      </x:c>
      <x:c r="H12" s="42" t="n">
        <x:v>46243</x:v>
      </x:c>
      <x:c r="I12" s="38" t="str">
        <x:v>Needs Update</x:v>
      </x:c>
      <x:c r="J12" s="38" t="str">
        <x:v>Mohammed</x:v>
      </x:c>
      <x:c r="K12" s="42" t="n">
        <x:v>47483</x:v>
      </x:c>
      <x:c r="L12" s="38" t="str">
        <x:v>Internal</x:v>
      </x:c>
    </x:row>
    <x:row r="13">
      <x:c r="A13" s="38" t="str">
        <x:v>EVD-DEL-009</x:v>
      </x:c>
      <x:c r="B13" s="38" t="str">
        <x:v>Risk Assessment</x:v>
      </x:c>
      <x:c r="C13" s="38" t="str">
        <x:v>RISK-DELL-009</x:v>
      </x:c>
      <x:c r="D13" s="38" t="str">
        <x:v>Approval Record</x:v>
      </x:c>
      <x:c r="E13" s="38" t="str">
        <x:v>synthetic_risk-dell-009_evidence.pdf</x:v>
      </x:c>
      <x:c r="F13" s="38" t="str">
        <x:v>Synthetic evidence metadata only; no real file is included.</x:v>
      </x:c>
      <x:c r="G13" s="38" t="str">
        <x:v>Khalid</x:v>
      </x:c>
      <x:c r="H13" s="42" t="n">
        <x:v>46244</x:v>
      </x:c>
      <x:c r="I13" s="38" t="str">
        <x:v>Pending Review</x:v>
      </x:c>
      <x:c r="J13" s="38" t="str">
        <x:v>Sara</x:v>
      </x:c>
      <x:c r="K13" s="42" t="n">
        <x:v>47483</x:v>
      </x:c>
      <x:c r="L13" s="38" t="str">
        <x:v>Internal</x:v>
      </x:c>
    </x:row>
    <x:row r="14">
      <x:c r="A14" s="38" t="str">
        <x:v>EVD-DEL-010</x:v>
      </x:c>
      <x:c r="B14" s="38" t="str">
        <x:v>Risk Assessment</x:v>
      </x:c>
      <x:c r="C14" s="38" t="str">
        <x:v>RISK-DELL-010</x:v>
      </x:c>
      <x:c r="D14" s="38" t="str">
        <x:v>Configuration Export</x:v>
      </x:c>
      <x:c r="E14" s="38" t="str">
        <x:v>synthetic_risk-dell-010_evidence.pdf</x:v>
      </x:c>
      <x:c r="F14" s="38" t="str">
        <x:v>Synthetic evidence metadata only; no real file is included.</x:v>
      </x:c>
      <x:c r="G14" s="38" t="str">
        <x:v>Huda</x:v>
      </x:c>
      <x:c r="H14" s="42" t="n">
        <x:v>46245</x:v>
      </x:c>
      <x:c r="I14" s="38" t="str">
        <x:v>Accepted</x:v>
      </x:c>
      <x:c r="J14" s="38" t="str">
        <x:v>Ahmed</x:v>
      </x:c>
      <x:c r="K14" s="42" t="n">
        <x:v>47483</x:v>
      </x:c>
      <x:c r="L14" s="38" t="str">
        <x:v>Internal</x:v>
      </x:c>
    </x:row>
    <x:row r="15">
      <x:c r="A15" s="38" t="str">
        <x:v>EVD-DEL-011</x:v>
      </x:c>
      <x:c r="B15" s="38" t="str">
        <x:v>Risk Assessment</x:v>
      </x:c>
      <x:c r="C15" s="38" t="str">
        <x:v>RISK-DELL-011</x:v>
      </x:c>
      <x:c r="D15" s="38" t="str">
        <x:v>Audit Report</x:v>
      </x:c>
      <x:c r="E15" s="38" t="str">
        <x:v>synthetic_risk-dell-011_evidence.pdf</x:v>
      </x:c>
      <x:c r="F15" s="38" t="str">
        <x:v>Synthetic evidence metadata only; no real file is included.</x:v>
      </x:c>
      <x:c r="G15" s="38" t="str">
        <x:v>Bader</x:v>
      </x:c>
      <x:c r="H15" s="42" t="n">
        <x:v>46246</x:v>
      </x:c>
      <x:c r="I15" s="38" t="str">
        <x:v>Needs Update</x:v>
      </x:c>
      <x:c r="J15" s="38" t="str">
        <x:v>Mariam</x:v>
      </x:c>
      <x:c r="K15" s="42" t="n">
        <x:v>47483</x:v>
      </x:c>
      <x:c r="L15" s="38" t="str">
        <x:v>Internal</x:v>
      </x:c>
    </x:row>
    <x:row r="16">
      <x:c r="A16" s="38" t="str">
        <x:v>EVD-DEL-012</x:v>
      </x:c>
      <x:c r="B16" s="38" t="str">
        <x:v>Risk Assessment</x:v>
      </x:c>
      <x:c r="C16" s="38" t="str">
        <x:v>RISK-DELL-012</x:v>
      </x:c>
      <x:c r="D16" s="38" t="str">
        <x:v>Screenshot</x:v>
      </x:c>
      <x:c r="E16" s="38" t="str">
        <x:v>synthetic_risk-dell-012_evidence.pdf</x:v>
      </x:c>
      <x:c r="F16" s="38" t="str">
        <x:v>Synthetic evidence metadata only; no real file is included.</x:v>
      </x:c>
      <x:c r="G16" s="38" t="str">
        <x:v>Abeer</x:v>
      </x:c>
      <x:c r="H16" s="42" t="n">
        <x:v>46247</x:v>
      </x:c>
      <x:c r="I16" s="38" t="str">
        <x:v>Pending Review</x:v>
      </x:c>
      <x:c r="J16" s="38" t="str">
        <x:v>Mohammed</x:v>
      </x:c>
      <x:c r="K16" s="42" t="n">
        <x:v>47483</x:v>
      </x:c>
      <x:c r="L16" s="38" t="str">
        <x:v>Internal</x:v>
      </x:c>
    </x:row>
  </x:sheetData>
  <x:mergeCells>
    <x:mergeCell ref="A1:L1"/>
    <x:mergeCell ref="A2:L2"/>
  </x:mergeCells>
  <x:conditionalFormatting sqref="A5:L16">
    <x:cfRule type="expression" dxfId="20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a6c7d5619f14b7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8" hidden="0" customWidth="1"/>
    <x:col min="4" max="4" width="20" hidden="0" customWidth="1"/>
    <x:col min="5" max="5" width="12" hidden="0" customWidth="1"/>
  </x:cols>
  <x:sheetData>
    <x:row r="1" ht="34" customHeight="1">
      <x:c r="A1" s="5" t="str">
        <x:v>Dell Risk Assessment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28" customHeight="1">
      <x:c r="A2" s="13" t="str">
        <x:v>Formula-driven summary of the synthetic risk register and treatment posture.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  <x:c r="L2" s="13"/>
    </x:row>
    <x:row r="4" ht="32" customHeight="1">
      <x:c r="A4" s="30" t="str">
        <x:v>Dashboard Metric</x:v>
      </x:c>
      <x:c r="B4" s="30" t="str">
        <x:v>Current Value</x:v>
      </x:c>
      <x:c r="D4" s="30" t="str">
        <x:v>Inherent Risk Level</x:v>
      </x:c>
      <x:c r="E4" s="30" t="str">
        <x:v>Count</x:v>
      </x:c>
    </x:row>
    <x:row r="5">
      <x:c r="A5" s="18" t="str">
        <x:v>Total Risk Records</x:v>
      </x:c>
      <x:c r="B5" t="n">
        <x:f>COUNTA('Risk Register'!A5:A16)</x:f>
        <x:v>12</x:v>
      </x:c>
      <x:c r="D5" t="str">
        <x:v>Critical</x:v>
      </x:c>
      <x:c r="E5" t="n">
        <x:f>COUNTIF('Risk Register'!N5:N16,"Critical")</x:f>
        <x:v>9</x:v>
      </x:c>
    </x:row>
    <x:row r="6">
      <x:c r="A6" s="18" t="str">
        <x:v>Critical Inherent Risks</x:v>
      </x:c>
      <x:c r="B6" t="n">
        <x:f>COUNTIF('Risk Register'!N5:N16,"Critical")</x:f>
        <x:v>9</x:v>
      </x:c>
      <x:c r="D6" t="str">
        <x:v>High</x:v>
      </x:c>
      <x:c r="E6" t="n">
        <x:f>COUNTIF('Risk Register'!N5:N16,"High")</x:f>
        <x:v>3</x:v>
      </x:c>
    </x:row>
    <x:row r="7">
      <x:c r="A7" s="18" t="str">
        <x:v>High Inherent Risks</x:v>
      </x:c>
      <x:c r="B7" t="n">
        <x:f>COUNTIF('Risk Register'!N5:N16,"High")</x:f>
        <x:v>3</x:v>
      </x:c>
      <x:c r="D7" t="str">
        <x:v>Medium</x:v>
      </x:c>
      <x:c r="E7" t="n">
        <x:f>COUNTIF('Risk Register'!N5:N16,"Medium")</x:f>
        <x:v>0</x:v>
      </x:c>
    </x:row>
    <x:row r="8">
      <x:c r="A8" s="18" t="str">
        <x:v>Active Risk Records</x:v>
      </x:c>
      <x:c r="B8" t="n">
        <x:f>COUNTIF('Risk Register'!W5:W16,"Open")+COUNTIF('Risk Register'!W5:W16,"In Progress")</x:f>
        <x:v>9</x:v>
      </x:c>
      <x:c r="D8" t="str">
        <x:v>Low</x:v>
      </x:c>
      <x:c r="E8" t="n">
        <x:f>COUNTIF('Risk Register'!N5:N16,"Low")</x:f>
        <x:v>0</x:v>
      </x:c>
    </x:row>
    <x:row r="9">
      <x:c r="A9" s="18" t="str">
        <x:v>Average Inherent Risk Score</x:v>
      </x:c>
      <x:c r="B9" s="48" t="n">
        <x:f>AVERAGE('Risk Register'!M5:M16)</x:f>
        <x:v>14.5</x:v>
      </x:c>
    </x:row>
    <x:row r="10">
      <x:c r="A10" s="18" t="str">
        <x:v>Average Residual Risk Score</x:v>
      </x:c>
      <x:c r="B10" s="48" t="n">
        <x:f>AVERAGE('Risk Register'!U5:U16)</x:f>
        <x:v>5.416666666666667</x:v>
      </x:c>
    </x:row>
  </x:sheetData>
  <x:mergeCells>
    <x:mergeCell ref="A1:L1"/>
    <x:mergeCell ref="A2:L2"/>
  </x:mergeCells>
  <x:pageMargins left="0.7" right="0.7" top="0.75" bottom="0.75" header="0.3" footer="0.3"/>
  <x:drawing xmlns:r="http://schemas.openxmlformats.org/officeDocument/2006/relationships" r:id="R0e2fc91ac70840e8"/>
</x:worksheet>
</file>

<file path=xl/worksheets/sheet1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54" hidden="0" customWidth="1"/>
    <x:col min="4" max="4" width="54" hidden="0" customWidth="1"/>
    <x:col min="5" max="5" width="26" hidden="0" customWidth="1"/>
    <x:col min="6" max="6" width="48" hidden="0" customWidth="1"/>
  </x:cols>
  <x:sheetData>
    <x:row r="1" ht="34" customHeight="1">
      <x:c r="A1" s="5" t="str">
        <x:v>Dell GRCx Import Schema</x:v>
      </x:c>
      <x:c r="B1" s="5"/>
      <x:c r="C1" s="5"/>
      <x:c r="D1" s="5"/>
      <x:c r="E1" s="5"/>
      <x:c r="F1" s="5"/>
    </x:row>
    <x:row r="2" ht="28" customHeight="1">
      <x:c r="A2" s="13" t="str">
        <x:v>Backend-friendly column mapping and safe import behavior for Cursor and GRCx.</x:v>
      </x:c>
      <x:c r="B2" s="13"/>
      <x:c r="C2" s="13"/>
      <x:c r="D2" s="13"/>
      <x:c r="E2" s="13"/>
      <x:c r="F2" s="13"/>
    </x:row>
    <x:row r="4" ht="32" customHeight="1">
      <x:c r="A4" s="30" t="str">
        <x:v>Module</x:v>
      </x:c>
      <x:c r="B4" s="30" t="str">
        <x:v>Unique Record Key</x:v>
      </x:c>
      <x:c r="C4" s="30" t="str">
        <x:v>Required Import Columns</x:v>
      </x:c>
      <x:c r="D4" s="30" t="str">
        <x:v>Optional Import Columns</x:v>
      </x:c>
      <x:c r="E4" s="30" t="str">
        <x:v>Recommended Import Mode</x:v>
      </x:c>
      <x:c r="F4" s="30" t="str">
        <x:v>Validation / Processing Notes</x:v>
      </x:c>
    </x:row>
    <x:row r="5">
      <x:c r="A5" s="38" t="str">
        <x:v>Risk Register</x:v>
      </x:c>
      <x:c r="B5" s="38" t="str">
        <x:v>Risk ID</x:v>
      </x:c>
      <x:c r="C5" s="38" t="str">
        <x:v>Risk ID, Risk Title, Risk Category, Business Unit, Risk Owner, Inherent Likelihood, Inherent Impact</x:v>
      </x:c>
      <x:c r="D5" s="38" t="str">
        <x:v>Threat, Vulnerability, Impact Area, Treatment, Framework, Residual values, Status, dates, Evidence</x:v>
      </x:c>
      <x:c r="E5" s="38" t="str">
        <x:v>Append and Update</x:v>
      </x:c>
      <x:c r="F5" s="38" t="str">
        <x:v>Never delete historical records automatically.</x:v>
      </x:c>
    </x:row>
    <x:row r="6">
      <x:c r="A6" s="38" t="str">
        <x:v>Risk Treatment Plans</x:v>
      </x:c>
      <x:c r="B6" s="38" t="str">
        <x:v>Treatment ID</x:v>
      </x:c>
      <x:c r="C6" s="38" t="str">
        <x:v>Treatment ID, Risk ID, Treatment Type, Treatment Action, Action Owner, Target Completion Date, Status</x:v>
      </x:c>
      <x:c r="D6" s="38" t="str">
        <x:v>Cost, progress, dependencies, evidence</x:v>
      </x:c>
      <x:c r="E6" s="38" t="str">
        <x:v>Append and Update</x:v>
      </x:c>
      <x:c r="F6" s="38" t="str">
        <x:v>Validate Risk ID relationship.</x:v>
      </x:c>
    </x:row>
    <x:row r="7">
      <x:c r="A7" s="38" t="str">
        <x:v>Control Register</x:v>
      </x:c>
      <x:c r="B7" s="38" t="str">
        <x:v>Control ID</x:v>
      </x:c>
      <x:c r="C7" s="38" t="str">
        <x:v>Control ID, Control Name, Framework, Control Owner, Implementation Status</x:v>
      </x:c>
      <x:c r="D7" s="38" t="str">
        <x:v>Effectiveness, test dates, evidence, related risks</x:v>
      </x:c>
      <x:c r="E7" s="38" t="str">
        <x:v>Append and Update</x:v>
      </x:c>
      <x:c r="F7" s="38" t="str">
        <x:v>A control may map to multiple risks.</x:v>
      </x:c>
    </x:row>
    <x:row r="8">
      <x:c r="A8" s="38" t="str">
        <x:v>KRI Register</x:v>
      </x:c>
      <x:c r="B8" s="38" t="str">
        <x:v>KRI ID</x:v>
      </x:c>
      <x:c r="C8" s="38" t="str">
        <x:v>KRI ID, Risk ID, KRI Name, Business Unit, Owner, unit, thresholds</x:v>
      </x:c>
      <x:c r="D8" s="38" t="str">
        <x:v>Frequency, data source, evidence, notes</x:v>
      </x:c>
      <x:c r="E8" s="38" t="str">
        <x:v>Append and Update</x:v>
      </x:c>
      <x:c r="F8" s="38" t="str">
        <x:v>Validate threshold direction and duplicate IDs.</x:v>
      </x:c>
    </x:row>
    <x:row r="9">
      <x:c r="A9" s="38" t="str">
        <x:v>KRI Measurement History</x:v>
      </x:c>
      <x:c r="B9" s="38" t="str">
        <x:v>Measurement ID</x:v>
      </x:c>
      <x:c r="C9" s="38" t="str">
        <x:v>Measurement ID, KRI ID, Measurement Date, Measured Value</x:v>
      </x:c>
      <x:c r="D9" s="38" t="str">
        <x:v>Period, unit, status, evidence, notes</x:v>
      </x:c>
      <x:c r="E9" s="38" t="str">
        <x:v>Append New Records</x:v>
      </x:c>
      <x:c r="F9" s="38" t="str">
        <x:v>Do not overwrite prior periods.</x:v>
      </x:c>
    </x:row>
    <x:row r="10">
      <x:c r="A10" s="38" t="str">
        <x:v>Evidence Register</x:v>
      </x:c>
      <x:c r="B10" s="38" t="str">
        <x:v>Evidence ID</x:v>
      </x:c>
      <x:c r="C10" s="38" t="str">
        <x:v>Evidence ID, Related Module, Related Record ID, Evidence Type</x:v>
      </x:c>
      <x:c r="D10" s="38" t="str">
        <x:v>Reference, description, owner, dates, status</x:v>
      </x:c>
      <x:c r="E10" s="38" t="str">
        <x:v>Append New Records</x:v>
      </x:c>
      <x:c r="F10" s="38" t="str">
        <x:v>Metadata only; files require secure upload.</x:v>
      </x:c>
    </x:row>
  </x:sheetData>
  <x:mergeCells>
    <x:mergeCell ref="A1:F1"/>
    <x:mergeCell ref="A2:F2"/>
  </x:mergeCells>
  <x:conditionalFormatting sqref="A5:F10">
    <x:cfRule type="expression" dxfId="21" priority="1">
      <x:formula>MOD(ROW(),2)=0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fc77e4d89864f57"/>
  </x:tableParts>
</x:worksheet>
</file>