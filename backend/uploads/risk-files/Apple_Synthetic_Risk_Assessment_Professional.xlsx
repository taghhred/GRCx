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13.xml" ContentType="application/vnd.openxmlformats-officedocument.spreadsheetml.worksheet+xml"/>
  <Override PartName="/xl/tables/table1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71365cef59d473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e03e64fe801c4240"/>
    <x:sheet xmlns:r="http://schemas.openxmlformats.org/officeDocument/2006/relationships" name="Document Control" sheetId="2" r:id="R61f6535a4dc94baa"/>
    <x:sheet xmlns:r="http://schemas.openxmlformats.org/officeDocument/2006/relationships" name="Assets" sheetId="3" r:id="R5734748952c14f02"/>
    <x:sheet xmlns:r="http://schemas.openxmlformats.org/officeDocument/2006/relationships" name="Governance" sheetId="4" r:id="R3849dd1b26734bf8"/>
    <x:sheet xmlns:r="http://schemas.openxmlformats.org/officeDocument/2006/relationships" name="Risk Criteria" sheetId="5" r:id="Rf4355533626543a9"/>
    <x:sheet xmlns:r="http://schemas.openxmlformats.org/officeDocument/2006/relationships" name="Risk Register" sheetId="6" r:id="Rf98c71e10e494116"/>
    <x:sheet xmlns:r="http://schemas.openxmlformats.org/officeDocument/2006/relationships" name="Treatments" sheetId="7" r:id="Rf36c4cb6368e4396"/>
    <x:sheet xmlns:r="http://schemas.openxmlformats.org/officeDocument/2006/relationships" name="Controls" sheetId="8" r:id="Re5b889097dd8446e"/>
    <x:sheet xmlns:r="http://schemas.openxmlformats.org/officeDocument/2006/relationships" name="KRI Register" sheetId="9" r:id="R76b57e82162d4307"/>
    <x:sheet xmlns:r="http://schemas.openxmlformats.org/officeDocument/2006/relationships" name="KRI Measurements" sheetId="10" r:id="R41f94e06d61749a4"/>
    <x:sheet xmlns:r="http://schemas.openxmlformats.org/officeDocument/2006/relationships" name="Evidence" sheetId="11" r:id="Ra2329197588f4530"/>
    <x:sheet xmlns:r="http://schemas.openxmlformats.org/officeDocument/2006/relationships" name="Dashboard" sheetId="12" r:id="Ra3292c733e9241a5"/>
    <x:sheet xmlns:r="http://schemas.openxmlformats.org/officeDocument/2006/relationships" name="Import Schema" sheetId="13" r:id="R67cd9a79b34e4c2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yyyy-mm-dd"/>
    <x:numFmt numFmtId="201" formatCode="$#,##0"/>
    <x:numFmt numFmtId="202" formatCode="0&quot;%&quot;"/>
    <x:numFmt numFmtId="203" formatCode="0.0"/>
  </x:numFmts>
  <x:fonts count="7">
    <x:font>
      <x:sz val="11"/>
      <x:name val="Carlito"/>
    </x:font>
    <x:font>
      <x:b/>
      <x:sz val="19"/>
      <x:color rgb="FFFFFFFF"/>
      <x:name val="Carlito"/>
    </x:font>
    <x:font>
      <x:i/>
      <x:sz val="10"/>
      <x:color rgb="FF1F2937"/>
      <x:name val="Carlito"/>
    </x:font>
    <x:font>
      <x:b/>
      <x:sz val="11"/>
      <x:color rgb="FF0B1F3A"/>
      <x:name val="Carlito"/>
    </x:font>
    <x:font>
      <x:sz val="11"/>
      <x:color rgb="FF1F2937"/>
      <x:name val="Carlito"/>
    </x:font>
    <x:font>
      <x:b/>
      <x:sz val="10"/>
      <x:color rgb="FFFFFFFF"/>
      <x:name val="Carlito"/>
    </x:font>
    <x:font>
      <x:sz val="9"/>
      <x:color rgb="FF1F2937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B1F3A"/>
      </x:patternFill>
    </x:fill>
    <x:fill>
      <x:patternFill patternType="solid">
        <x:fgColor rgb="FFDCEAF7"/>
      </x:patternFill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5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3" fillId="3" borderId="1" xfId="0" applyNumberFormat="1" applyFont="1" applyFill="1" applyBorder="1"/>
    <x:xf numFmtId="0" fontId="3" fillId="3" borderId="1" xfId="0" applyNumberFormat="1" applyFont="1" applyFill="1" applyBorder="1" applyAlignment="1">
      <x:alignment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4" fillId="0" borderId="1" xfId="0" applyNumberFormat="1" applyFont="1" applyFill="1" applyBorder="1"/>
    <x:xf numFmtId="0" fontId="4" fillId="0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5" fillId="4" borderId="0" xfId="0" applyNumberFormat="1" applyFont="1" applyFill="1" applyBorder="1" applyAlignment="1">
      <x:alignment wrapText="1"/>
    </x:xf>
    <x:xf numFmtId="0" fontId="5" fillId="4" borderId="0" xfId="0" applyNumberFormat="1" applyFont="1" applyFill="1" applyBorder="1" applyAlignment="1">
      <x:alignment horizontal="center" wrapText="1"/>
    </x:xf>
    <x:xf numFmtId="0" fontId="5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5" fillId="4" borderId="1" xfId="0" applyNumberFormat="1" applyFont="1" applyFill="1" applyBorder="1"/>
    <x:xf numFmtId="0" fontId="5" fillId="4" borderId="1" xfId="0" applyNumberFormat="1" applyFont="1" applyFill="1" applyBorder="1" applyAlignment="1">
      <x:alignment wrapText="1"/>
    </x:xf>
    <x:xf numFmtId="0" fontId="5" fillId="4" borderId="1" xfId="0" applyNumberFormat="1" applyFont="1" applyFill="1" applyBorder="1" applyAlignment="1">
      <x:alignment horizontal="center" wrapText="1"/>
    </x:xf>
    <x:xf numFmtId="0" fontId="5" fillId="4" borderId="1" xfId="0" applyNumberFormat="1" applyFont="1" applyFill="1" applyBorder="1" applyAlignment="1">
      <x:alignment horizontal="center" vertical="center" wrapText="1"/>
    </x:xf>
    <x:xf numFmtId="0" fontId="6" fillId="0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6" fillId="0" borderId="0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/>
    <x:xf numFmtId="0" fontId="6" fillId="0" borderId="1" xfId="0" applyNumberFormat="1" applyFont="1" applyFill="1" applyBorder="1" applyAlignment="1">
      <x:alignment wrapText="1"/>
    </x:xf>
    <x:xf numFmtId="0" fontId="6" fillId="0" borderId="1" xfId="0" applyNumberFormat="1" applyFont="1" applyFill="1" applyBorder="1" applyAlignment="1">
      <x:alignment vertical="center" wrapText="1"/>
    </x:xf>
    <x:xf numFmtId="200" fontId="6" fillId="0" borderId="0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center" wrapText="1"/>
    </x:xf>
    <x:xf numFmtId="201" fontId="6" fillId="0" borderId="0" xfId="0" applyNumberFormat="1" applyFont="1" applyFill="1" applyBorder="1" applyAlignment="1">
      <x:alignment vertical="center" wrapText="1"/>
    </x:xf>
    <x:xf numFmtId="201" fontId="6" fillId="0" borderId="1" xfId="0" applyNumberFormat="1" applyFont="1" applyFill="1" applyBorder="1" applyAlignment="1">
      <x:alignment vertical="center" wrapText="1"/>
    </x:xf>
    <x:xf numFmtId="202" fontId="6" fillId="0" borderId="0" xfId="0" applyNumberFormat="1" applyFont="1" applyFill="1" applyBorder="1" applyAlignment="1">
      <x:alignment vertical="center" wrapText="1"/>
    </x:xf>
    <x:xf numFmtId="202" fontId="6" fillId="0" borderId="1" xfId="0" applyNumberFormat="1" applyFont="1" applyFill="1" applyBorder="1" applyAlignment="1">
      <x:alignment vertical="center" wrapText="1"/>
    </x:xf>
    <x:xf numFmtId="203" fontId="0" fillId="0" borderId="0" xfId="0" applyNumberFormat="1" applyFont="1" applyFill="1" applyBorder="1"/>
    <x:xf numFmtId="203" fontId="0" fillId="0" borderId="1" xfId="0" applyNumberFormat="1" applyFont="1" applyFill="1" applyBorder="1"/>
  </x:cellXfs>
  <x:cellStyles count="1">
    <x:cellStyle name="Normal" xfId="0"/>
  </x:cellStyles>
  <x:dxfs count="22">
    <x:dxf>
      <x:fill>
        <x:patternFill patternType="solid">
          <x:bgColor rgb="FFF1F5F9"/>
        </x:patternFill>
      </x:fill>
    </x:dxf>
    <x:dxf>
      <x:fill>
        <x:patternFill patternType="solid">
          <x:bgColor rgb="FFF1F5F9"/>
        </x:patternFill>
      </x:fill>
    </x:dxf>
    <x:dxf>
      <x:fill>
        <x:patternFill patternType="solid">
          <x:bgColor rgb="FFF1F5F9"/>
        </x:patternFill>
      </x:fill>
    </x:dxf>
    <x:dxf>
      <x:fill>
        <x:patternFill patternType="solid">
          <x:bgColor rgb="FFF1F5F9"/>
        </x:patternFill>
      </x:fill>
    </x:dxf>
    <x:dxf>
      <x:fill>
        <x:patternFill patternType="solid">
          <x:bgColor rgb="FFF1F5F9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A3412"/>
      </x:font>
      <x:fill>
        <x:patternFill patternType="solid">
          <x:bgColor rgb="FFFFEDD5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065F46"/>
      </x:font>
      <x:fill>
        <x:patternFill patternType="solid">
          <x:bgColor rgb="FFD1FAE5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A3412"/>
      </x:font>
      <x:fill>
        <x:patternFill patternType="solid">
          <x:bgColor rgb="FFFFEDD5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065F46"/>
      </x:font>
      <x:fill>
        <x:patternFill patternType="solid">
          <x:bgColor rgb="FFD1FAE5"/>
        </x:patternFill>
      </x:fill>
    </x:dxf>
    <x:dxf>
      <x:fill>
        <x:patternFill patternType="solid">
          <x:bgColor rgb="FFF1F5F9"/>
        </x:patternFill>
      </x:fill>
    </x:dxf>
    <x:dxf>
      <x:fill>
        <x:patternFill patternType="solid">
          <x:bgColor rgb="FFF1F5F9"/>
        </x:patternFill>
      </x:fill>
    </x:dxf>
    <x:dxf>
      <x:fill>
        <x:patternFill patternType="solid">
          <x:bgColor rgb="FFF1F5F9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065F46"/>
      </x:font>
      <x:fill>
        <x:patternFill patternType="solid">
          <x:bgColor rgb="FFD1FAE5"/>
        </x:patternFill>
      </x:fill>
    </x:dxf>
    <x:dxf>
      <x:fill>
        <x:patternFill patternType="solid">
          <x:bgColor rgb="FFF1F5F9"/>
        </x:patternFill>
      </x:fill>
    </x:dxf>
    <x:dxf>
      <x:fill>
        <x:patternFill patternType="solid">
          <x:bgColor rgb="FFF1F5F9"/>
        </x:patternFill>
      </x:fill>
    </x:dxf>
    <x:dxf>
      <x:fill>
        <x:patternFill patternType="solid">
          <x:bgColor rgb="FFF1F5F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d31177041b34572" /><Relationship Type="http://schemas.openxmlformats.org/officeDocument/2006/relationships/theme" Target="/xl/theme/theme1.xml" Id="Rb226b3ef1c5a4813" /><Relationship Type="http://schemas.openxmlformats.org/officeDocument/2006/relationships/sharedStrings" Target="/xl/sharedStrings.xml" Id="R9b29ff00e693476a" /><Relationship Type="http://schemas.openxmlformats.org/officeDocument/2006/relationships/worksheet" Target="/xl/worksheets/sheet1.xml" Id="Re03e64fe801c4240" /><Relationship Type="http://schemas.openxmlformats.org/officeDocument/2006/relationships/worksheet" Target="/xl/worksheets/sheet2.xml" Id="R61f6535a4dc94baa" /><Relationship Type="http://schemas.openxmlformats.org/officeDocument/2006/relationships/worksheet" Target="/xl/worksheets/sheet3.xml" Id="R5734748952c14f02" /><Relationship Type="http://schemas.openxmlformats.org/officeDocument/2006/relationships/worksheet" Target="/xl/worksheets/sheet4.xml" Id="R3849dd1b26734bf8" /><Relationship Type="http://schemas.openxmlformats.org/officeDocument/2006/relationships/worksheet" Target="/xl/worksheets/sheet5.xml" Id="Rf4355533626543a9" /><Relationship Type="http://schemas.openxmlformats.org/officeDocument/2006/relationships/worksheet" Target="/xl/worksheets/sheet6.xml" Id="Rf98c71e10e494116" /><Relationship Type="http://schemas.openxmlformats.org/officeDocument/2006/relationships/worksheet" Target="/xl/worksheets/sheet7.xml" Id="Rf36c4cb6368e4396" /><Relationship Type="http://schemas.openxmlformats.org/officeDocument/2006/relationships/worksheet" Target="/xl/worksheets/sheet8.xml" Id="Re5b889097dd8446e" /><Relationship Type="http://schemas.openxmlformats.org/officeDocument/2006/relationships/worksheet" Target="/xl/worksheets/sheet9.xml" Id="R76b57e82162d4307" /><Relationship Type="http://schemas.openxmlformats.org/officeDocument/2006/relationships/worksheet" Target="/xl/worksheets/sheet10.xml" Id="R41f94e06d61749a4" /><Relationship Type="http://schemas.openxmlformats.org/officeDocument/2006/relationships/worksheet" Target="/xl/worksheets/sheet11.xml" Id="Ra2329197588f4530" /><Relationship Type="http://schemas.openxmlformats.org/officeDocument/2006/relationships/worksheet" Target="/xl/worksheets/sheet12.xml" Id="Ra3292c733e9241a5" /><Relationship Type="http://schemas.openxmlformats.org/officeDocument/2006/relationships/worksheet" Target="/xl/worksheets/sheet13.xml" Id="R67cd9a79b34e4c21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09bae295b2ce4321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Inherent Risk Distribution</a:t>
            </a:r>
          </a:p>
        </c:rich>
      </c:tx>
      <c:overlay val="0"/>
    </c:title>
    <c:autoTitleDeleted val="0"/>
    <c:plotArea>
      <c:layout/>
      <c:pieChart>
        <c:ser>
          <c:idx val="0"/>
          <c:order val="0"/>
          <c:tx>
            <c:v>Count</c:v>
          </c:tx>
          <c:cat>
            <c:strRef>
              <c:f>'Dashboard'!$D$5:$D$8</c:f>
              <c:strCache>
                <c:ptCount val="0"/>
              </c:strCache>
            </c:strRef>
          </c:cat>
          <c:val>
            <c:numRef>
              <c:f>'Dashboard'!$E$5:$E$8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</c:pieChart>
    </c:plotArea>
    <c:legend>
      <c:legendPos val="r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6</xdr:col>
      <xdr:colOff>0</xdr:colOff>
      <xdr:row>3</xdr:row>
      <xdr:rowOff>0</xdr:rowOff>
    </xdr:from>
    <xdr:to>
      <xdr:col>12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9bae295b2ce4321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AppleDocumentControl" displayName="AppleDocumentControl" ref="A4:M5" headerRowCount="1">
  <x:tableColumns count="13">
    <x:tableColumn id="1" name="Document ID"/>
    <x:tableColumn id="2" name="Document Title"/>
    <x:tableColumn id="3" name="Version"/>
    <x:tableColumn id="4" name="Document Status"/>
    <x:tableColumn id="5" name="Classification"/>
    <x:tableColumn id="6" name="Document Owner"/>
    <x:tableColumn id="7" name="Prepared By"/>
    <x:tableColumn id="8" name="Reviewed By"/>
    <x:tableColumn id="9" name="Approved By"/>
    <x:tableColumn id="10" name="Issue Date"/>
    <x:tableColumn id="11" name="Next Review Date"/>
    <x:tableColumn id="12" name="Review Frequency"/>
    <x:tableColumn id="13" name="Change Summary"/>
  </x:tableColumns>
  <x:tableStyleInfo name="TableStyleMedium2" showRowStripes="1"/>
</x:table>
</file>

<file path=xl/tables/table2.xml><?xml version="1.0" encoding="utf-8"?>
<x:table xmlns:x="http://schemas.openxmlformats.org/spreadsheetml/2006/main" id="2" name="AppleAssets" displayName="AppleAssets" ref="A4:I12" headerRowCount="1">
  <x:tableColumns count="9">
    <x:tableColumn id="1" name="Asset ID"/>
    <x:tableColumn id="2" name="Asset Name"/>
    <x:tableColumn id="3" name="Asset Category"/>
    <x:tableColumn id="4" name="Environment"/>
    <x:tableColumn id="5" name="Business Unit"/>
    <x:tableColumn id="6" name="Asset Criticality"/>
    <x:tableColumn id="7" name="Data Classification"/>
    <x:tableColumn id="8" name="Hosting / Location"/>
    <x:tableColumn id="9" name="Asset Owner"/>
  </x:tableColumns>
  <x:tableStyleInfo name="TableStyleMedium2" showRowStripes="1"/>
</x:table>
</file>

<file path=xl/tables/table3.xml><?xml version="1.0" encoding="utf-8"?>
<x:table xmlns:x="http://schemas.openxmlformats.org/spreadsheetml/2006/main" id="3" name="AppleGovernance" displayName="AppleGovernance" ref="A4:G11" headerRowCount="1">
  <x:tableColumns count="7">
    <x:tableColumn id="1" name="Governance Level"/>
    <x:tableColumn id="2" name="Role / Committee"/>
    <x:tableColumn id="3" name="Primary Responsibilities"/>
    <x:tableColumn id="4" name="Decision Authority"/>
    <x:tableColumn id="5" name="Escalation Path"/>
    <x:tableColumn id="6" name="Review Cadence"/>
    <x:tableColumn id="7" name="Required Output / Evidence"/>
  </x:tableColumns>
  <x:tableStyleInfo name="TableStyleMedium2" showRowStripes="1"/>
</x:table>
</file>

<file path=xl/tables/table4.xml><?xml version="1.0" encoding="utf-8"?>
<x:table xmlns:x="http://schemas.openxmlformats.org/spreadsheetml/2006/main" id="4" name="AppleRiskCriteria" displayName="AppleRiskCriteria" ref="A4:G8" headerRowCount="1">
  <x:tableColumns count="7">
    <x:tableColumn id="1" name="Score Range"/>
    <x:tableColumn id="2" name="Risk Level"/>
    <x:tableColumn id="3" name="Acceptance Classification"/>
    <x:tableColumn id="4" name="Required Action"/>
    <x:tableColumn id="5" name="Approval Authority"/>
    <x:tableColumn id="6" name="Review Frequency"/>
    <x:tableColumn id="7" name="Target Treatment Timeline"/>
  </x:tableColumns>
  <x:tableStyleInfo name="TableStyleMedium2" showRowStripes="1"/>
</x:table>
</file>

<file path=xl/tables/table5.xml><?xml version="1.0" encoding="utf-8"?>
<x:table xmlns:x="http://schemas.openxmlformats.org/spreadsheetml/2006/main" id="5" name="AppleRiskRegister" displayName="AppleRiskRegister" ref="A4:AB16" headerRowCount="1">
  <x:tableColumns count="28">
    <x:tableColumn id="1" name="Risk ID"/>
    <x:tableColumn id="2" name="Risk Title"/>
    <x:tableColumn id="3" name="Risk Category"/>
    <x:tableColumn id="4" name="Affected Asset"/>
    <x:tableColumn id="5" name="Business Unit"/>
    <x:tableColumn id="6" name="Risk Owner"/>
    <x:tableColumn id="7" name="Risk Scenario / Description"/>
    <x:tableColumn id="8" name="Threat Source"/>
    <x:tableColumn id="9" name="Vulnerability / Weakness"/>
    <x:tableColumn id="10" name="Impact Area"/>
    <x:tableColumn id="11" name="Inherent Likelihood"/>
    <x:tableColumn id="12" name="Inherent Impact"/>
    <x:tableColumn id="13" name="Inherent Risk Score"/>
    <x:tableColumn id="14" name="Inherent Risk Level"/>
    <x:tableColumn id="15" name="Treatment Strategy"/>
    <x:tableColumn id="16" name="Planned Risk Controls"/>
    <x:tableColumn id="17" name="Applicable Framework"/>
    <x:tableColumn id="18" name="Framework Control Reference"/>
    <x:tableColumn id="19" name="Residual Likelihood"/>
    <x:tableColumn id="20" name="Residual Impact"/>
    <x:tableColumn id="21" name="Residual Risk Score"/>
    <x:tableColumn id="22" name="Residual Risk Level"/>
    <x:tableColumn id="23" name="Risk Workflow Status"/>
    <x:tableColumn id="24" name="Date Identified"/>
    <x:tableColumn id="25" name="Last Review Date"/>
    <x:tableColumn id="26" name="Next Review Date"/>
    <x:tableColumn id="27" name="Evidence ID"/>
    <x:tableColumn id="28" name="Additional Notes"/>
  </x:tableColumns>
  <x:tableStyleInfo name="TableStyleMedium2" showRowStripes="1"/>
</x:table>
</file>

<file path=xl/tables/table6.xml><?xml version="1.0" encoding="utf-8"?>
<x:table xmlns:x="http://schemas.openxmlformats.org/spreadsheetml/2006/main" id="6" name="AppleTreatments" displayName="AppleTreatments" ref="A4:O16" headerRowCount="1">
  <x:tableColumns count="15">
    <x:tableColumn id="1" name="Treatment ID"/>
    <x:tableColumn id="2" name="Risk ID"/>
    <x:tableColumn id="3" name="Treatment Type"/>
    <x:tableColumn id="4" name="Treatment Action"/>
    <x:tableColumn id="5" name="Action Owner"/>
    <x:tableColumn id="6" name="Priority"/>
    <x:tableColumn id="7" name="Planned Start Date"/>
    <x:tableColumn id="8" name="Target Completion Date"/>
    <x:tableColumn id="9" name="Estimated One-Time Cost (USD)"/>
    <x:tableColumn id="10" name="Expected Risk Reduction (%)"/>
    <x:tableColumn id="11" name="Completion Progress (%)"/>
    <x:tableColumn id="12" name="Treatment Status"/>
    <x:tableColumn id="13" name="Dependencies"/>
    <x:tableColumn id="14" name="Required Evidence"/>
    <x:tableColumn id="15" name="Last Updated Date"/>
  </x:tableColumns>
  <x:tableStyleInfo name="TableStyleMedium2" showRowStripes="1"/>
</x:table>
</file>

<file path=xl/tables/table7.xml><?xml version="1.0" encoding="utf-8"?>
<x:table xmlns:x="http://schemas.openxmlformats.org/spreadsheetml/2006/main" id="7" name="AppleControls" displayName="AppleControls" ref="A4:N16" headerRowCount="1">
  <x:tableColumns count="14">
    <x:tableColumn id="1" name="Control ID"/>
    <x:tableColumn id="2" name="Control Name"/>
    <x:tableColumn id="3" name="Control Domain"/>
    <x:tableColumn id="4" name="Applicable Framework"/>
    <x:tableColumn id="5" name="Framework Control ID"/>
    <x:tableColumn id="6" name="Control Objective"/>
    <x:tableColumn id="7" name="Control Owner"/>
    <x:tableColumn id="8" name="Implementation Status"/>
    <x:tableColumn id="9" name="Control Effectiveness (%)"/>
    <x:tableColumn id="10" name="Testing Frequency"/>
    <x:tableColumn id="11" name="Last Test Date"/>
    <x:tableColumn id="12" name="Next Test Date"/>
    <x:tableColumn id="13" name="Evidence ID"/>
    <x:tableColumn id="14" name="Related Risk IDs"/>
  </x:tableColumns>
  <x:tableStyleInfo name="TableStyleMedium2" showRowStripes="1"/>
</x:table>
</file>

<file path=xl/tables/table8.xml><?xml version="1.0" encoding="utf-8"?>
<x:table xmlns:x="http://schemas.openxmlformats.org/spreadsheetml/2006/main" id="8" name="AppleKRIRegister" displayName="AppleKRIRegister" ref="A4:Q16" headerRowCount="1">
  <x:tableColumns count="17">
    <x:tableColumn id="1" name="KRI ID"/>
    <x:tableColumn id="2" name="Risk ID"/>
    <x:tableColumn id="3" name="KRI Name"/>
    <x:tableColumn id="4" name="Business Unit"/>
    <x:tableColumn id="5" name="KRI Owner"/>
    <x:tableColumn id="6" name="Measurement Frequency"/>
    <x:tableColumn id="7" name="Measurement Unit"/>
    <x:tableColumn id="8" name="Measurement Method / Formula"/>
    <x:tableColumn id="9" name="Target Value"/>
    <x:tableColumn id="10" name="Warning Threshold"/>
    <x:tableColumn id="11" name="Critical Threshold"/>
    <x:tableColumn id="12" name="Current Value"/>
    <x:tableColumn id="13" name="KRI Status"/>
    <x:tableColumn id="14" name="Data Source"/>
    <x:tableColumn id="15" name="Last Measurement Date"/>
    <x:tableColumn id="16" name="Evidence ID"/>
    <x:tableColumn id="17" name="Additional Notes"/>
  </x:tableColumns>
  <x:tableStyleInfo name="TableStyleMedium2" showRowStripes="1"/>
</x:table>
</file>

<file path=xl/tables/table9.xml><?xml version="1.0" encoding="utf-8"?>
<x:table xmlns:x="http://schemas.openxmlformats.org/spreadsheetml/2006/main" id="9" name="AppleKRIMeasurements" displayName="AppleKRIMeasurements" ref="A4:K76" headerRowCount="1">
  <x:tableColumns count="11">
    <x:tableColumn id="1" name="Measurement ID"/>
    <x:tableColumn id="2" name="KRI ID"/>
    <x:tableColumn id="3" name="Measurement Date"/>
    <x:tableColumn id="4" name="Reporting Period"/>
    <x:tableColumn id="5" name="Measured Value"/>
    <x:tableColumn id="6" name="Measurement Unit"/>
    <x:tableColumn id="7" name="Calculated Status"/>
    <x:tableColumn id="8" name="Measured By"/>
    <x:tableColumn id="9" name="Data Source"/>
    <x:tableColumn id="10" name="Evidence ID"/>
    <x:tableColumn id="11" name="Measurement Notes"/>
  </x:tableColumns>
  <x:tableStyleInfo name="TableStyleMedium2" showRowStripes="1"/>
</x:table>
</file>

<file path=xl/tables/table10.xml><?xml version="1.0" encoding="utf-8"?>
<x:table xmlns:x="http://schemas.openxmlformats.org/spreadsheetml/2006/main" id="10" name="AppleEvidence" displayName="AppleEvidence" ref="A4:L16" headerRowCount="1">
  <x:tableColumns count="12">
    <x:tableColumn id="1" name="Evidence ID"/>
    <x:tableColumn id="2" name="Related Module"/>
    <x:tableColumn id="3" name="Related Record ID"/>
    <x:tableColumn id="4" name="Evidence Type"/>
    <x:tableColumn id="5" name="File Name / Reference"/>
    <x:tableColumn id="6" name="Evidence Description"/>
    <x:tableColumn id="7" name="Evidence Owner"/>
    <x:tableColumn id="8" name="Collection Date"/>
    <x:tableColumn id="9" name="Review Status"/>
    <x:tableColumn id="10" name="Reviewed By"/>
    <x:tableColumn id="11" name="Retention Date"/>
    <x:tableColumn id="12" name="Information Classification"/>
  </x:tableColumns>
  <x:tableStyleInfo name="TableStyleMedium2" showRowStripes="1"/>
</x:table>
</file>

<file path=xl/tables/table11.xml><?xml version="1.0" encoding="utf-8"?>
<x:table xmlns:x="http://schemas.openxmlformats.org/spreadsheetml/2006/main" id="11" name="AppleImportSchema" displayName="AppleImportSchema" ref="A4:F10" headerRowCount="1">
  <x:tableColumns count="6">
    <x:tableColumn id="1" name="Module"/>
    <x:tableColumn id="2" name="Unique Record Key"/>
    <x:tableColumn id="3" name="Required Import Columns"/>
    <x:tableColumn id="4" name="Optional Import Columns"/>
    <x:tableColumn id="5" name="Recommended Import Mode"/>
    <x:tableColumn id="6" name="Validation / Processing Note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d2cbbd5bc90463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507f4f6d58154d9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cd7c93a16cc9428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cc97f171e7694d69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d1ac62908da641f0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8e478d74fa234778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1d744ec66bff4f90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f65a3e8b29f5432a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a16a757f7c564ab6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290699343be34dfd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drawing" Target="/xl/drawings/drawing1.xml" Id="Rd38bf519e1c44b95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1.xml" Id="Rb706fca5bd044f05" /></Relationships>
</file>

<file path=xl/worksheets/sheet1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92" hidden="0" customWidth="1"/>
  </x:cols>
  <x:sheetData>
    <x:row r="1" ht="34" customHeight="1">
      <x:c r="A1" s="5" t="str">
        <x:v>Apple Synthetic Risk Assessment Dataset</x:v>
      </x:c>
      <x:c r="B1" s="5"/>
      <x:c r="C1" s="5"/>
      <x:c r="D1" s="5"/>
      <x:c r="E1" s="5"/>
      <x:c r="F1" s="5"/>
      <x:c r="G1" s="5"/>
      <x:c r="H1" s="5"/>
    </x:row>
    <x:row r="2" ht="28" customHeight="1">
      <x:c r="A2" s="13" t="str">
        <x:v>Synthetic training data for GRCx only. It is not an official assessment and contains no source-document records.</x:v>
      </x:c>
      <x:c r="B2" s="13"/>
      <x:c r="C2" s="13"/>
      <x:c r="D2" s="13"/>
      <x:c r="E2" s="13"/>
      <x:c r="F2" s="13"/>
      <x:c r="G2" s="13"/>
      <x:c r="H2" s="13"/>
    </x:row>
    <x:row r="4">
      <x:c r="A4" s="19" t="str">
        <x:v>Dataset Classification</x:v>
      </x:c>
      <x:c r="B4" s="23" t="str">
        <x:v>Synthetic / Training Use Only</x:v>
      </x:c>
    </x:row>
    <x:row r="5">
      <x:c r="A5" s="19" t="str">
        <x:v>Organization Label</x:v>
      </x:c>
      <x:c r="B5" s="23" t="str">
        <x:v>Apple Synthetic Digital Services Environment</x:v>
      </x:c>
    </x:row>
    <x:row r="6">
      <x:c r="A6" s="19" t="str">
        <x:v>Intended Use</x:v>
      </x:c>
      <x:c r="B6" s="23" t="str">
        <x:v>GRCx Risk Assessment frontend, backend, database, import/export, filtering, scoring, treatment, evidence, and reporting tests.</x:v>
      </x:c>
    </x:row>
    <x:row r="7">
      <x:c r="A7" s="19" t="str">
        <x:v>Confidentiality Notice</x:v>
      </x:c>
      <x:c r="B7" s="23" t="str">
        <x:v>No names, risk records, costs, decisions, or sensitive details were copied from the uploaded documents.</x:v>
      </x:c>
    </x:row>
    <x:row r="8">
      <x:c r="A8" s="19" t="str">
        <x:v>Design Approach</x:v>
      </x:c>
      <x:c r="B8" s="23" t="str">
        <x:v>The workbook follows a professional risk lifecycle: document control, scope, assets, governance, risk acceptance criteria, inherent assessment, treatment, residual risk, KRI monitoring, evidence, and review.</x:v>
      </x:c>
    </x:row>
    <x:row r="9">
      <x:c r="A9" s="19" t="str">
        <x:v>Primary Keys</x:v>
      </x:c>
      <x:c r="B9" s="23" t="str">
        <x:v>Asset ID, Risk ID, Treatment ID, Control ID, KRI ID, Measurement ID, Evidence ID.</x:v>
      </x:c>
    </x:row>
    <x:row r="10">
      <x:c r="A10" s="19" t="str">
        <x:v>Scoring Method</x:v>
      </x:c>
      <x:c r="B10" s="23" t="str">
        <x:v>Risk Score = Likelihood × Impact on a 1–5 scale.</x:v>
      </x:c>
    </x:row>
    <x:row r="11">
      <x:c r="A11" s="19" t="str">
        <x:v>Risk Levels</x:v>
      </x:c>
      <x:c r="B11" s="23" t="str">
        <x:v>1–4 Low; 5–9 Medium; 10–14 High; 15–25 Critical.</x:v>
      </x:c>
    </x:row>
    <x:row r="12">
      <x:c r="A12" s="19" t="str">
        <x:v>Acceptance Rule</x:v>
      </x:c>
      <x:c r="B12" s="23" t="str">
        <x:v>Low may be monitored; Medium requires treatment planning; High and Critical require escalation and documented approval.</x:v>
      </x:c>
    </x:row>
    <x:row r="13">
      <x:c r="A13" s="19" t="str">
        <x:v>Data History</x:v>
      </x:c>
      <x:c r="B13" s="23" t="str">
        <x:v>Measurements and assessments are versioned; prior periods are not overwritten.</x:v>
      </x:c>
    </x:row>
    <x:row r="14">
      <x:c r="A14" s="19" t="str">
        <x:v>Usage Restriction</x:v>
      </x:c>
      <x:c r="B14" s="23" t="str">
        <x:v>Do not present this workbook as an official risk assessment of the named organization.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38" hidden="0" customWidth="1"/>
    <x:col min="3" max="3" width="10" hidden="0" customWidth="1"/>
    <x:col min="4" max="4" width="18" hidden="0" customWidth="1"/>
    <x:col min="5" max="5" width="24" hidden="0" customWidth="1"/>
    <x:col min="6" max="6" width="18" hidden="0" customWidth="1"/>
    <x:col min="7" max="7" width="18" hidden="0" customWidth="1"/>
    <x:col min="8" max="8" width="22" hidden="0" customWidth="1"/>
    <x:col min="9" max="9" width="20" hidden="0" customWidth="1"/>
    <x:col min="10" max="10" width="14" hidden="0" customWidth="1"/>
    <x:col min="11" max="11" width="16" hidden="0" customWidth="1"/>
    <x:col min="12" max="12" width="16" hidden="0" customWidth="1"/>
    <x:col min="13" max="13" width="44" hidden="0" customWidth="1"/>
  </x:cols>
  <x:sheetData>
    <x:row r="1" ht="34" customHeight="1">
      <x:c r="A1" s="5" t="str">
        <x:v>Apple Document Control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</x:row>
    <x:row r="2" ht="28" customHeight="1">
      <x:c r="A2" s="13" t="str">
        <x:v>Versioning, approval, ownership, classification, and review metadata.</x:v>
      </x:c>
      <x:c r="B2" s="13"/>
      <x:c r="C2" s="13"/>
      <x:c r="D2" s="13"/>
      <x:c r="E2" s="13"/>
      <x:c r="F2" s="13"/>
      <x:c r="G2" s="13"/>
      <x:c r="H2" s="13"/>
      <x:c r="I2" s="13"/>
      <x:c r="J2" s="13"/>
      <x:c r="K2" s="13"/>
      <x:c r="L2" s="13"/>
      <x:c r="M2" s="13"/>
    </x:row>
    <x:row r="4" ht="32" customHeight="1">
      <x:c r="A4" s="30" t="str">
        <x:v>Document ID</x:v>
      </x:c>
      <x:c r="B4" s="30" t="str">
        <x:v>Document Title</x:v>
      </x:c>
      <x:c r="C4" s="30" t="str">
        <x:v>Version</x:v>
      </x:c>
      <x:c r="D4" s="30" t="str">
        <x:v>Document Status</x:v>
      </x:c>
      <x:c r="E4" s="30" t="str">
        <x:v>Classification</x:v>
      </x:c>
      <x:c r="F4" s="30" t="str">
        <x:v>Document Owner</x:v>
      </x:c>
      <x:c r="G4" s="30" t="str">
        <x:v>Prepared By</x:v>
      </x:c>
      <x:c r="H4" s="30" t="str">
        <x:v>Reviewed By</x:v>
      </x:c>
      <x:c r="I4" s="30" t="str">
        <x:v>Approved By</x:v>
      </x:c>
      <x:c r="J4" s="30" t="str">
        <x:v>Issue Date</x:v>
      </x:c>
      <x:c r="K4" s="30" t="str">
        <x:v>Next Review Date</x:v>
      </x:c>
      <x:c r="L4" s="30" t="str">
        <x:v>Review Frequency</x:v>
      </x:c>
      <x:c r="M4" s="30" t="str">
        <x:v>Change Summary</x:v>
      </x:c>
    </x:row>
    <x:row r="5">
      <x:c r="A5" s="38" t="str">
        <x:v>DOC-APP-RA-001</x:v>
      </x:c>
      <x:c r="B5" s="38" t="str">
        <x:v>Apple Synthetic Enterprise Risk Assessment</x:v>
      </x:c>
      <x:c r="C5" s="38" t="str">
        <x:v>1.0</x:v>
      </x:c>
      <x:c r="D5" s="38" t="str">
        <x:v>Approved</x:v>
      </x:c>
      <x:c r="E5" s="38" t="str">
        <x:v>Synthetic / Internal Training</x:v>
      </x:c>
      <x:c r="F5" s="38" t="str">
        <x:v>GRC Manager</x:v>
      </x:c>
      <x:c r="G5" s="38" t="str">
        <x:v>Risk Analyst</x:v>
      </x:c>
      <x:c r="H5" s="38" t="str">
        <x:v>Cybersecurity Manager</x:v>
      </x:c>
      <x:c r="I5" s="38" t="str">
        <x:v>Risk Committee</x:v>
      </x:c>
      <x:c r="J5" s="42" t="n">
        <x:v>46235</x:v>
      </x:c>
      <x:c r="K5" s="42" t="n">
        <x:v>46600</x:v>
      </x:c>
      <x:c r="L5" s="38" t="str">
        <x:v>Annual</x:v>
      </x:c>
      <x:c r="M5" s="38" t="str">
        <x:v>Initial synthetic release for GRCx testing.</x:v>
      </x:c>
    </x:row>
  </x:sheetData>
  <x:mergeCells>
    <x:mergeCell ref="A1:M1"/>
    <x:mergeCell ref="A2:M2"/>
  </x:mergeCells>
  <x:conditionalFormatting sqref="A5:M5">
    <x:cfRule type="expression" dxfId="0" priority="1">
      <x:formula>MOD(ROW(),2)=0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ed2cbbd5bc904638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7" hidden="0" customWidth="1"/>
    <x:col min="2" max="2" width="31" hidden="0" customWidth="1"/>
    <x:col min="3" max="3" width="22" hidden="0" customWidth="1"/>
    <x:col min="4" max="4" width="16" hidden="0" customWidth="1"/>
    <x:col min="5" max="5" width="23" hidden="0" customWidth="1"/>
    <x:col min="6" max="6" width="18" hidden="0" customWidth="1"/>
    <x:col min="7" max="7" width="20" hidden="0" customWidth="1"/>
    <x:col min="8" max="8" width="23" hidden="0" customWidth="1"/>
    <x:col min="9" max="9" width="16" hidden="0" customWidth="1"/>
  </x:cols>
  <x:sheetData>
    <x:row r="1" ht="34" customHeight="1">
      <x:c r="A1" s="5" t="str">
        <x:v>Apple Scope and Asset Register</x:v>
      </x:c>
      <x:c r="B1" s="5"/>
      <x:c r="C1" s="5"/>
      <x:c r="D1" s="5"/>
      <x:c r="E1" s="5"/>
      <x:c r="F1" s="5"/>
      <x:c r="G1" s="5"/>
      <x:c r="H1" s="5"/>
      <x:c r="I1" s="5"/>
    </x:row>
    <x:row r="2" ht="28" customHeight="1">
      <x:c r="A2" s="13" t="str">
        <x:v>Synthetic technical, information, operational, and supporting assets included in the assessment scope.</x:v>
      </x:c>
      <x:c r="B2" s="13"/>
      <x:c r="C2" s="13"/>
      <x:c r="D2" s="13"/>
      <x:c r="E2" s="13"/>
      <x:c r="F2" s="13"/>
      <x:c r="G2" s="13"/>
      <x:c r="H2" s="13"/>
      <x:c r="I2" s="13"/>
    </x:row>
    <x:row r="4" ht="32" customHeight="1">
      <x:c r="A4" s="30" t="str">
        <x:v>Asset ID</x:v>
      </x:c>
      <x:c r="B4" s="30" t="str">
        <x:v>Asset Name</x:v>
      </x:c>
      <x:c r="C4" s="30" t="str">
        <x:v>Asset Category</x:v>
      </x:c>
      <x:c r="D4" s="30" t="str">
        <x:v>Environment</x:v>
      </x:c>
      <x:c r="E4" s="30" t="str">
        <x:v>Business Unit</x:v>
      </x:c>
      <x:c r="F4" s="30" t="str">
        <x:v>Asset Criticality</x:v>
      </x:c>
      <x:c r="G4" s="30" t="str">
        <x:v>Data Classification</x:v>
      </x:c>
      <x:c r="H4" s="30" t="str">
        <x:v>Hosting / Location</x:v>
      </x:c>
      <x:c r="I4" s="30" t="str">
        <x:v>Asset Owner</x:v>
      </x:c>
    </x:row>
    <x:row r="5">
      <x:c r="A5" s="38" t="str">
        <x:v>AST-APP-001</x:v>
      </x:c>
      <x:c r="B5" s="38" t="str">
        <x:v>Device Activation Service</x:v>
      </x:c>
      <x:c r="C5" s="38" t="str">
        <x:v>Cloud Service</x:v>
      </x:c>
      <x:c r="D5" s="38" t="str">
        <x:v>Production</x:v>
      </x:c>
      <x:c r="E5" s="38" t="str">
        <x:v>Cloud Services</x:v>
      </x:c>
      <x:c r="F5" s="38" t="str">
        <x:v>Critical</x:v>
      </x:c>
      <x:c r="G5" s="38" t="str">
        <x:v>Restricted</x:v>
      </x:c>
      <x:c r="H5" s="38" t="str">
        <x:v>Multi-Region Cloud</x:v>
      </x:c>
      <x:c r="I5" s="38" t="str">
        <x:v>Mona</x:v>
      </x:c>
    </x:row>
    <x:row r="6">
      <x:c r="A6" s="38" t="str">
        <x:v>AST-APP-002</x:v>
      </x:c>
      <x:c r="B6" s="38" t="str">
        <x:v>Application Review Platform</x:v>
      </x:c>
      <x:c r="C6" s="38" t="str">
        <x:v>Workflow Platform</x:v>
      </x:c>
      <x:c r="D6" s="38" t="str">
        <x:v>Production</x:v>
      </x:c>
      <x:c r="E6" s="38" t="str">
        <x:v>App Governance</x:v>
      </x:c>
      <x:c r="F6" s="38" t="str">
        <x:v>High</x:v>
      </x:c>
      <x:c r="G6" s="38" t="str">
        <x:v>Confidential</x:v>
      </x:c>
      <x:c r="H6" s="38" t="str">
        <x:v>Cloud</x:v>
      </x:c>
      <x:c r="I6" s="38" t="str">
        <x:v>Adel</x:v>
      </x:c>
    </x:row>
    <x:row r="7">
      <x:c r="A7" s="38" t="str">
        <x:v>AST-APP-003</x:v>
      </x:c>
      <x:c r="B7" s="38" t="str">
        <x:v>Code Signing Infrastructure</x:v>
      </x:c>
      <x:c r="C7" s="38" t="str">
        <x:v>Security Service</x:v>
      </x:c>
      <x:c r="D7" s="38" t="str">
        <x:v>Production</x:v>
      </x:c>
      <x:c r="E7" s="38" t="str">
        <x:v>Platform Security</x:v>
      </x:c>
      <x:c r="F7" s="38" t="str">
        <x:v>Critical</x:v>
      </x:c>
      <x:c r="G7" s="38" t="str">
        <x:v>Restricted</x:v>
      </x:c>
      <x:c r="H7" s="38" t="str">
        <x:v>Private Cloud</x:v>
      </x:c>
      <x:c r="I7" s="38" t="str">
        <x:v>Rasha</x:v>
      </x:c>
    </x:row>
    <x:row r="8">
      <x:c r="A8" s="38" t="str">
        <x:v>AST-APP-004</x:v>
      </x:c>
      <x:c r="B8" s="38" t="str">
        <x:v>Digital Wallet Token Service</x:v>
      </x:c>
      <x:c r="C8" s="38" t="str">
        <x:v>Payment Service</x:v>
      </x:c>
      <x:c r="D8" s="38" t="str">
        <x:v>Production</x:v>
      </x:c>
      <x:c r="E8" s="38" t="str">
        <x:v>Payments</x:v>
      </x:c>
      <x:c r="F8" s="38" t="str">
        <x:v>Critical</x:v>
      </x:c>
      <x:c r="G8" s="38" t="str">
        <x:v>Restricted</x:v>
      </x:c>
      <x:c r="H8" s="38" t="str">
        <x:v>Cloud</x:v>
      </x:c>
      <x:c r="I8" s="38" t="str">
        <x:v>Yousef</x:v>
      </x:c>
    </x:row>
    <x:row r="9">
      <x:c r="A9" s="38" t="str">
        <x:v>AST-APP-005</x:v>
      </x:c>
      <x:c r="B9" s="38" t="str">
        <x:v>Customer Privacy Request Portal</x:v>
      </x:c>
      <x:c r="C9" s="38" t="str">
        <x:v>Web Application</x:v>
      </x:c>
      <x:c r="D9" s="38" t="str">
        <x:v>Production</x:v>
      </x:c>
      <x:c r="E9" s="38" t="str">
        <x:v>Privacy</x:v>
      </x:c>
      <x:c r="F9" s="38" t="str">
        <x:v>High</x:v>
      </x:c>
      <x:c r="G9" s="38" t="str">
        <x:v>Confidential</x:v>
      </x:c>
      <x:c r="H9" s="38" t="str">
        <x:v>Cloud</x:v>
      </x:c>
      <x:c r="I9" s="38" t="str">
        <x:v>Hanan</x:v>
      </x:c>
    </x:row>
    <x:row r="10">
      <x:c r="A10" s="38" t="str">
        <x:v>AST-APP-006</x:v>
      </x:c>
      <x:c r="B10" s="38" t="str">
        <x:v>Retail Point-of-Sale Estate</x:v>
      </x:c>
      <x:c r="C10" s="38" t="str">
        <x:v>Endpoint Estate</x:v>
      </x:c>
      <x:c r="D10" s="38" t="str">
        <x:v>Production</x:v>
      </x:c>
      <x:c r="E10" s="38" t="str">
        <x:v>Retail Technology</x:v>
      </x:c>
      <x:c r="F10" s="38" t="str">
        <x:v>Critical</x:v>
      </x:c>
      <x:c r="G10" s="38" t="str">
        <x:v>Restricted</x:v>
      </x:c>
      <x:c r="H10" s="38" t="str">
        <x:v>Hybrid</x:v>
      </x:c>
      <x:c r="I10" s="38" t="str">
        <x:v>Faisal</x:v>
      </x:c>
    </x:row>
    <x:row r="11">
      <x:c r="A11" s="38" t="str">
        <x:v>AST-APP-007</x:v>
      </x:c>
      <x:c r="B11" s="38" t="str">
        <x:v>Cloud Backup Platform</x:v>
      </x:c>
      <x:c r="C11" s="38" t="str">
        <x:v>Storage Service</x:v>
      </x:c>
      <x:c r="D11" s="38" t="str">
        <x:v>Production</x:v>
      </x:c>
      <x:c r="E11" s="38" t="str">
        <x:v>Cloud Services</x:v>
      </x:c>
      <x:c r="F11" s="38" t="str">
        <x:v>Critical</x:v>
      </x:c>
      <x:c r="G11" s="38" t="str">
        <x:v>Restricted</x:v>
      </x:c>
      <x:c r="H11" s="38" t="str">
        <x:v>Multi-Region Cloud</x:v>
      </x:c>
      <x:c r="I11" s="38" t="str">
        <x:v>Nadia</x:v>
      </x:c>
    </x:row>
    <x:row r="12">
      <x:c r="A12" s="38" t="str">
        <x:v>AST-APP-008</x:v>
      </x:c>
      <x:c r="B12" s="38" t="str">
        <x:v>Emergency Recovery Vault</x:v>
      </x:c>
      <x:c r="C12" s="38" t="str">
        <x:v>Recovery Service</x:v>
      </x:c>
      <x:c r="D12" s="38" t="str">
        <x:v>Production</x:v>
      </x:c>
      <x:c r="E12" s="38" t="str">
        <x:v>Business Resilience</x:v>
      </x:c>
      <x:c r="F12" s="38" t="str">
        <x:v>Critical</x:v>
      </x:c>
      <x:c r="G12" s="38" t="str">
        <x:v>Restricted</x:v>
      </x:c>
      <x:c r="H12" s="38" t="str">
        <x:v>Secondary Region</x:v>
      </x:c>
      <x:c r="I12" s="38" t="str">
        <x:v>Saud</x:v>
      </x:c>
    </x:row>
  </x:sheetData>
  <x:mergeCells>
    <x:mergeCell ref="A1:I1"/>
    <x:mergeCell ref="A2:I2"/>
  </x:mergeCells>
  <x:conditionalFormatting sqref="A5:I12">
    <x:cfRule type="expression" dxfId="1" priority="1">
      <x:formula>MOD(ROW(),2)=0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507f4f6d58154d96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8" hidden="0" customWidth="1"/>
    <x:col min="3" max="3" width="55" hidden="0" customWidth="1"/>
    <x:col min="4" max="4" width="45" hidden="0" customWidth="1"/>
    <x:col min="5" max="5" width="32" hidden="0" customWidth="1"/>
    <x:col min="6" max="6" width="16" hidden="0" customWidth="1"/>
    <x:col min="7" max="7" width="34" hidden="0" customWidth="1"/>
  </x:cols>
  <x:sheetData>
    <x:row r="1" ht="34" customHeight="1">
      <x:c r="A1" s="5" t="str">
        <x:v>Apple Governance and Responsibilities</x:v>
      </x:c>
      <x:c r="B1" s="5"/>
      <x:c r="C1" s="5"/>
      <x:c r="D1" s="5"/>
      <x:c r="E1" s="5"/>
      <x:c r="F1" s="5"/>
      <x:c r="G1" s="5"/>
    </x:row>
    <x:row r="2" ht="28" customHeight="1">
      <x:c r="A2" s="13" t="str">
        <x:v>Synthetic governance hierarchy from strategic oversight through operational ownership.</x:v>
      </x:c>
      <x:c r="B2" s="13"/>
      <x:c r="C2" s="13"/>
      <x:c r="D2" s="13"/>
      <x:c r="E2" s="13"/>
      <x:c r="F2" s="13"/>
      <x:c r="G2" s="13"/>
    </x:row>
    <x:row r="4" ht="32" customHeight="1">
      <x:c r="A4" s="30" t="str">
        <x:v>Governance Level</x:v>
      </x:c>
      <x:c r="B4" s="30" t="str">
        <x:v>Role / Committee</x:v>
      </x:c>
      <x:c r="C4" s="30" t="str">
        <x:v>Primary Responsibilities</x:v>
      </x:c>
      <x:c r="D4" s="30" t="str">
        <x:v>Decision Authority</x:v>
      </x:c>
      <x:c r="E4" s="30" t="str">
        <x:v>Escalation Path</x:v>
      </x:c>
      <x:c r="F4" s="30" t="str">
        <x:v>Review Cadence</x:v>
      </x:c>
      <x:c r="G4" s="30" t="str">
        <x:v>Required Output / Evidence</x:v>
      </x:c>
    </x:row>
    <x:row r="5">
      <x:c r="A5" s="38" t="str">
        <x:v>Strategic</x:v>
      </x:c>
      <x:c r="B5" s="38" t="str">
        <x:v>Executive Risk Committee</x:v>
      </x:c>
      <x:c r="C5" s="38" t="str">
        <x:v>Approve risk appetite, critical treatment funding, and unresolved high-risk decisions.</x:v>
      </x:c>
      <x:c r="D5" s="38" t="str">
        <x:v>Approve critical risk acceptance and major investments.</x:v>
      </x:c>
      <x:c r="E5" s="38" t="str">
        <x:v>Board / Executive Leadership</x:v>
      </x:c>
      <x:c r="F5" s="38" t="str">
        <x:v>Quarterly</x:v>
      </x:c>
      <x:c r="G5" s="38" t="str">
        <x:v>Approved minutes and risk decisions</x:v>
      </x:c>
    </x:row>
    <x:row r="6">
      <x:c r="A6" s="38" t="str">
        <x:v>Oversight</x:v>
      </x:c>
      <x:c r="B6" s="38" t="str">
        <x:v>Cybersecurity and Risk Committee</x:v>
      </x:c>
      <x:c r="C6" s="38" t="str">
        <x:v>Review risk reports, KRIs, overdue treatments, and compliance exceptions.</x:v>
      </x:c>
      <x:c r="D6" s="38" t="str">
        <x:v>Direct remediation and escalate unacceptable risks.</x:v>
      </x:c>
      <x:c r="E6" s="38" t="str">
        <x:v>Executive Risk Committee</x:v>
      </x:c>
      <x:c r="F6" s="38" t="str">
        <x:v>Monthly</x:v>
      </x:c>
      <x:c r="G6" s="38" t="str">
        <x:v>Risk oversight report</x:v>
      </x:c>
    </x:row>
    <x:row r="7">
      <x:c r="A7" s="38" t="str">
        <x:v>Management</x:v>
      </x:c>
      <x:c r="B7" s="38" t="str">
        <x:v>CISO / Security Director</x:v>
      </x:c>
      <x:c r="C7" s="38" t="str">
        <x:v>Operate the cyber-risk program and ensure controls and incident coordination.</x:v>
      </x:c>
      <x:c r="D7" s="38" t="str">
        <x:v>Approve routine security treatments and standards.</x:v>
      </x:c>
      <x:c r="E7" s="38" t="str">
        <x:v>Cybersecurity and Risk Committee</x:v>
      </x:c>
      <x:c r="F7" s="38" t="str">
        <x:v>Monthly</x:v>
      </x:c>
      <x:c r="G7" s="38" t="str">
        <x:v>Cyber risk report</x:v>
      </x:c>
    </x:row>
    <x:row r="8">
      <x:c r="A8" s="38" t="str">
        <x:v>Governance</x:v>
      </x:c>
      <x:c r="B8" s="38" t="str">
        <x:v>GRC Manager</x:v>
      </x:c>
      <x:c r="C8" s="38" t="str">
        <x:v>Maintain methodology, risk register, evidence, control mappings, and review schedule.</x:v>
      </x:c>
      <x:c r="D8" s="38" t="str">
        <x:v>Approve standard risk updates and evidence closure.</x:v>
      </x:c>
      <x:c r="E8" s="38" t="str">
        <x:v>CISO</x:v>
      </x:c>
      <x:c r="F8" s="38" t="str">
        <x:v>Monthly</x:v>
      </x:c>
      <x:c r="G8" s="38" t="str">
        <x:v>Risk register and assurance package</x:v>
      </x:c>
    </x:row>
    <x:row r="9">
      <x:c r="A9" s="38" t="str">
        <x:v>Ownership</x:v>
      </x:c>
      <x:c r="B9" s="38" t="str">
        <x:v>Risk Owner</x:v>
      </x:c>
      <x:c r="C9" s="38" t="str">
        <x:v>Own risk decisions, treatment actions, due dates, and residual acceptance requests.</x:v>
      </x:c>
      <x:c r="D9" s="38" t="str">
        <x:v>Propose treatment and sign completion evidence.</x:v>
      </x:c>
      <x:c r="E9" s="38" t="str">
        <x:v>GRC Manager</x:v>
      </x:c>
      <x:c r="F9" s="38" t="str">
        <x:v>Monthly</x:v>
      </x:c>
      <x:c r="G9" s="38" t="str">
        <x:v>Treatment progress and acceptance request</x:v>
      </x:c>
    </x:row>
    <x:row r="10">
      <x:c r="A10" s="38" t="str">
        <x:v>Control</x:v>
      </x:c>
      <x:c r="B10" s="38" t="str">
        <x:v>Control Owner</x:v>
      </x:c>
      <x:c r="C10" s="38" t="str">
        <x:v>Operate and test assigned controls and remediate control weaknesses.</x:v>
      </x:c>
      <x:c r="D10" s="38" t="str">
        <x:v>Approve control test evidence.</x:v>
      </x:c>
      <x:c r="E10" s="38" t="str">
        <x:v>Risk Owner / GRC</x:v>
      </x:c>
      <x:c r="F10" s="38" t="str">
        <x:v>Quarterly</x:v>
      </x:c>
      <x:c r="G10" s="38" t="str">
        <x:v>Control test results</x:v>
      </x:c>
    </x:row>
    <x:row r="11">
      <x:c r="A11" s="38" t="str">
        <x:v>Independent Assurance</x:v>
      </x:c>
      <x:c r="B11" s="38" t="str">
        <x:v>Internal Audit</x:v>
      </x:c>
      <x:c r="C11" s="38" t="str">
        <x:v>Independently assess design and operating effectiveness.</x:v>
      </x:c>
      <x:c r="D11" s="38" t="str">
        <x:v>Issue findings and recommendations.</x:v>
      </x:c>
      <x:c r="E11" s="38" t="str">
        <x:v>Audit Committee</x:v>
      </x:c>
      <x:c r="F11" s="38" t="str">
        <x:v>Annual</x:v>
      </x:c>
      <x:c r="G11" s="38" t="str">
        <x:v>Independent audit report</x:v>
      </x:c>
    </x:row>
  </x:sheetData>
  <x:mergeCells>
    <x:mergeCell ref="A1:G1"/>
    <x:mergeCell ref="A2:G2"/>
  </x:mergeCells>
  <x:conditionalFormatting sqref="A5:G11">
    <x:cfRule type="expression" dxfId="2" priority="1">
      <x:formula>MOD(ROW(),2)=0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cd7c93a16cc9428a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4" hidden="0" customWidth="1"/>
    <x:col min="3" max="3" width="28" hidden="0" customWidth="1"/>
    <x:col min="4" max="4" width="48" hidden="0" customWidth="1"/>
    <x:col min="5" max="5" width="32" hidden="0" customWidth="1"/>
    <x:col min="6" max="6" width="18" hidden="0" customWidth="1"/>
    <x:col min="7" max="7" width="24" hidden="0" customWidth="1"/>
  </x:cols>
  <x:sheetData>
    <x:row r="1" ht="34" customHeight="1">
      <x:c r="A1" s="5" t="str">
        <x:v>Apple Risk Acceptance Criteria</x:v>
      </x:c>
      <x:c r="B1" s="5"/>
      <x:c r="C1" s="5"/>
      <x:c r="D1" s="5"/>
      <x:c r="E1" s="5"/>
      <x:c r="F1" s="5"/>
      <x:c r="G1" s="5"/>
    </x:row>
    <x:row r="2" ht="28" customHeight="1">
      <x:c r="A2" s="13" t="str">
        <x:v>Synthetic acceptance thresholds and escalation requirements for the 5×5 risk matrix.</x:v>
      </x:c>
      <x:c r="B2" s="13"/>
      <x:c r="C2" s="13"/>
      <x:c r="D2" s="13"/>
      <x:c r="E2" s="13"/>
      <x:c r="F2" s="13"/>
      <x:c r="G2" s="13"/>
    </x:row>
    <x:row r="4" ht="32" customHeight="1">
      <x:c r="A4" s="30" t="str">
        <x:v>Score Range</x:v>
      </x:c>
      <x:c r="B4" s="30" t="str">
        <x:v>Risk Level</x:v>
      </x:c>
      <x:c r="C4" s="30" t="str">
        <x:v>Acceptance Classification</x:v>
      </x:c>
      <x:c r="D4" s="30" t="str">
        <x:v>Required Action</x:v>
      </x:c>
      <x:c r="E4" s="30" t="str">
        <x:v>Approval Authority</x:v>
      </x:c>
      <x:c r="F4" s="30" t="str">
        <x:v>Review Frequency</x:v>
      </x:c>
      <x:c r="G4" s="30" t="str">
        <x:v>Target Treatment Timeline</x:v>
      </x:c>
    </x:row>
    <x:row r="5">
      <x:c r="A5" s="38" t="str">
        <x:v>1–4</x:v>
      </x:c>
      <x:c r="B5" s="38" t="str">
        <x:v>Low</x:v>
      </x:c>
      <x:c r="C5" s="38" t="str">
        <x:v>Acceptable</x:v>
      </x:c>
      <x:c r="D5" s="38" t="str">
        <x:v>Monitor and maintain existing controls.</x:v>
      </x:c>
      <x:c r="E5" s="38" t="str">
        <x:v>Risk Owner</x:v>
      </x:c>
      <x:c r="F5" s="38" t="str">
        <x:v>Quarterly</x:v>
      </x:c>
      <x:c r="G5" s="38" t="str">
        <x:v>Routine review</x:v>
      </x:c>
    </x:row>
    <x:row r="6">
      <x:c r="A6" s="38" t="str">
        <x:v>5–9</x:v>
      </x:c>
      <x:c r="B6" s="38" t="str">
        <x:v>Medium</x:v>
      </x:c>
      <x:c r="C6" s="38" t="str">
        <x:v>Treatment Required</x:v>
      </x:c>
      <x:c r="D6" s="38" t="str">
        <x:v>Document mitigation plan and responsible owner.</x:v>
      </x:c>
      <x:c r="E6" s="38" t="str">
        <x:v>GRC Manager</x:v>
      </x:c>
      <x:c r="F6" s="38" t="str">
        <x:v>Monthly</x:v>
      </x:c>
      <x:c r="G6" s="38" t="str">
        <x:v>90 days</x:v>
      </x:c>
    </x:row>
    <x:row r="7">
      <x:c r="A7" s="38" t="str">
        <x:v>10–14</x:v>
      </x:c>
      <x:c r="B7" s="38" t="str">
        <x:v>High</x:v>
      </x:c>
      <x:c r="C7" s="38" t="str">
        <x:v>Unacceptable Without Approval</x:v>
      </x:c>
      <x:c r="D7" s="38" t="str">
        <x:v>Immediate treatment plan and committee escalation.</x:v>
      </x:c>
      <x:c r="E7" s="38" t="str">
        <x:v>Cybersecurity and Risk Committee</x:v>
      </x:c>
      <x:c r="F7" s="38" t="str">
        <x:v>Biweekly</x:v>
      </x:c>
      <x:c r="G7" s="38" t="str">
        <x:v>45 days</x:v>
      </x:c>
    </x:row>
    <x:row r="8">
      <x:c r="A8" s="38" t="str">
        <x:v>15–25</x:v>
      </x:c>
      <x:c r="B8" s="38" t="str">
        <x:v>Critical</x:v>
      </x:c>
      <x:c r="C8" s="38" t="str">
        <x:v>Rejected / Emergency Action</x:v>
      </x:c>
      <x:c r="D8" s="38" t="str">
        <x:v>Immediate containment, executive escalation, and tracked remediation.</x:v>
      </x:c>
      <x:c r="E8" s="38" t="str">
        <x:v>Executive Risk Committee</x:v>
      </x:c>
      <x:c r="F8" s="38" t="str">
        <x:v>Weekly</x:v>
      </x:c>
      <x:c r="G8" s="38" t="str">
        <x:v>15 days</x:v>
      </x:c>
    </x:row>
  </x:sheetData>
  <x:mergeCells>
    <x:mergeCell ref="A1:G1"/>
    <x:mergeCell ref="A2:G2"/>
  </x:mergeCells>
  <x:conditionalFormatting sqref="A5:G8">
    <x:cfRule type="expression" dxfId="3" priority="1">
      <x:formula>MOD(ROW(),2)=0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cc97f171e7694d69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7" hidden="0" customWidth="1"/>
    <x:col min="2" max="2" width="31" hidden="0" customWidth="1"/>
    <x:col min="3" max="3" width="21" hidden="0" customWidth="1"/>
    <x:col min="4" max="4" width="28" hidden="0" customWidth="1"/>
    <x:col min="5" max="5" width="23" hidden="0" customWidth="1"/>
    <x:col min="6" max="6" width="15" hidden="0" customWidth="1"/>
    <x:col min="7" max="7" width="52" hidden="0" customWidth="1"/>
    <x:col min="8" max="8" width="25" hidden="0" customWidth="1"/>
    <x:col min="9" max="9" width="31" hidden="0" customWidth="1"/>
    <x:col min="10" max="10" width="23" hidden="0" customWidth="1"/>
    <x:col min="11" max="11" width="15" hidden="0" customWidth="1"/>
    <x:col min="12" max="12" width="14" hidden="0" customWidth="1"/>
    <x:col min="13" max="13" width="17" hidden="0" customWidth="1"/>
    <x:col min="14" max="14" width="17" hidden="0" customWidth="1"/>
    <x:col min="15" max="15" width="18" hidden="0" customWidth="1"/>
    <x:col min="16" max="16" width="55" hidden="0" customWidth="1"/>
    <x:col min="17" max="17" width="22" hidden="0" customWidth="1"/>
    <x:col min="18" max="18" width="26" hidden="0" customWidth="1"/>
    <x:col min="19" max="19" width="16" hidden="0" customWidth="1"/>
    <x:col min="20" max="20" width="15" hidden="0" customWidth="1"/>
    <x:col min="21" max="21" width="17" hidden="0" customWidth="1"/>
    <x:col min="22" max="22" width="17" hidden="0" customWidth="1"/>
    <x:col min="23" max="23" width="20" hidden="0" customWidth="1"/>
    <x:col min="24" max="24" width="15" hidden="0" customWidth="1"/>
    <x:col min="25" max="25" width="15" hidden="0" customWidth="1"/>
    <x:col min="26" max="26" width="15" hidden="0" customWidth="1"/>
    <x:col min="27" max="27" width="19" hidden="0" customWidth="1"/>
    <x:col min="28" max="28" width="34" hidden="0" customWidth="1"/>
  </x:cols>
  <x:sheetData>
    <x:row r="1" ht="34" customHeight="1">
      <x:c r="A1" s="5" t="str">
        <x:v>Apple Enterprise Risk Register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  <x:c r="Q1" s="5"/>
      <x:c r="R1" s="5"/>
      <x:c r="S1" s="5"/>
      <x:c r="T1" s="5"/>
      <x:c r="U1" s="5"/>
      <x:c r="V1" s="5"/>
      <x:c r="W1" s="5"/>
      <x:c r="X1" s="5"/>
      <x:c r="Y1" s="5"/>
      <x:c r="Z1" s="5"/>
      <x:c r="AA1" s="5"/>
      <x:c r="AB1" s="5"/>
    </x:row>
    <x:row r="2" ht="28" customHeight="1">
      <x:c r="A2" s="13" t="str">
        <x:v>Synthetic inherent and residual risk assessments with threat, weakness, treatment, framework, ownership, evidence, and review dates.</x:v>
      </x:c>
      <x:c r="B2" s="13"/>
      <x:c r="C2" s="13"/>
      <x:c r="D2" s="13"/>
      <x:c r="E2" s="13"/>
      <x:c r="F2" s="13"/>
      <x:c r="G2" s="13"/>
      <x:c r="H2" s="13"/>
      <x:c r="I2" s="13"/>
      <x:c r="J2" s="13"/>
      <x:c r="K2" s="13"/>
      <x:c r="L2" s="13"/>
      <x:c r="M2" s="13"/>
      <x:c r="N2" s="13"/>
      <x:c r="O2" s="13"/>
      <x:c r="P2" s="13"/>
      <x:c r="Q2" s="13"/>
      <x:c r="R2" s="13"/>
      <x:c r="S2" s="13"/>
      <x:c r="T2" s="13"/>
      <x:c r="U2" s="13"/>
      <x:c r="V2" s="13"/>
      <x:c r="W2" s="13"/>
      <x:c r="X2" s="13"/>
      <x:c r="Y2" s="13"/>
      <x:c r="Z2" s="13"/>
      <x:c r="AA2" s="13"/>
      <x:c r="AB2" s="13"/>
    </x:row>
    <x:row r="4" ht="32" customHeight="1">
      <x:c r="A4" s="30" t="str">
        <x:v>Risk ID</x:v>
      </x:c>
      <x:c r="B4" s="30" t="str">
        <x:v>Risk Title</x:v>
      </x:c>
      <x:c r="C4" s="30" t="str">
        <x:v>Risk Category</x:v>
      </x:c>
      <x:c r="D4" s="30" t="str">
        <x:v>Affected Asset</x:v>
      </x:c>
      <x:c r="E4" s="30" t="str">
        <x:v>Business Unit</x:v>
      </x:c>
      <x:c r="F4" s="30" t="str">
        <x:v>Risk Owner</x:v>
      </x:c>
      <x:c r="G4" s="30" t="str">
        <x:v>Risk Scenario / Description</x:v>
      </x:c>
      <x:c r="H4" s="30" t="str">
        <x:v>Threat Source</x:v>
      </x:c>
      <x:c r="I4" s="30" t="str">
        <x:v>Vulnerability / Weakness</x:v>
      </x:c>
      <x:c r="J4" s="30" t="str">
        <x:v>Impact Area</x:v>
      </x:c>
      <x:c r="K4" s="30" t="str">
        <x:v>Inherent Likelihood</x:v>
      </x:c>
      <x:c r="L4" s="30" t="str">
        <x:v>Inherent Impact</x:v>
      </x:c>
      <x:c r="M4" s="30" t="str">
        <x:v>Inherent Risk Score</x:v>
      </x:c>
      <x:c r="N4" s="30" t="str">
        <x:v>Inherent Risk Level</x:v>
      </x:c>
      <x:c r="O4" s="30" t="str">
        <x:v>Treatment Strategy</x:v>
      </x:c>
      <x:c r="P4" s="30" t="str">
        <x:v>Planned Risk Controls</x:v>
      </x:c>
      <x:c r="Q4" s="30" t="str">
        <x:v>Applicable Framework</x:v>
      </x:c>
      <x:c r="R4" s="30" t="str">
        <x:v>Framework Control Reference</x:v>
      </x:c>
      <x:c r="S4" s="30" t="str">
        <x:v>Residual Likelihood</x:v>
      </x:c>
      <x:c r="T4" s="30" t="str">
        <x:v>Residual Impact</x:v>
      </x:c>
      <x:c r="U4" s="30" t="str">
        <x:v>Residual Risk Score</x:v>
      </x:c>
      <x:c r="V4" s="30" t="str">
        <x:v>Residual Risk Level</x:v>
      </x:c>
      <x:c r="W4" s="30" t="str">
        <x:v>Risk Workflow Status</x:v>
      </x:c>
      <x:c r="X4" s="30" t="str">
        <x:v>Date Identified</x:v>
      </x:c>
      <x:c r="Y4" s="30" t="str">
        <x:v>Last Review Date</x:v>
      </x:c>
      <x:c r="Z4" s="30" t="str">
        <x:v>Next Review Date</x:v>
      </x:c>
      <x:c r="AA4" s="30" t="str">
        <x:v>Evidence ID</x:v>
      </x:c>
      <x:c r="AB4" s="30" t="str">
        <x:v>Additional Notes</x:v>
      </x:c>
    </x:row>
    <x:row r="5">
      <x:c r="A5" s="38" t="str">
        <x:v>RISK-APP-001</x:v>
      </x:c>
      <x:c r="B5" s="38" t="str">
        <x:v>Code-signing key misuse</x:v>
      </x:c>
      <x:c r="C5" s="38" t="str">
        <x:v>Cryptography</x:v>
      </x:c>
      <x:c r="D5" s="38" t="str">
        <x:v>Code Signing Infrastructure</x:v>
      </x:c>
      <x:c r="E5" s="38" t="str">
        <x:v>Platform Security</x:v>
      </x:c>
      <x:c r="F5" s="38" t="str">
        <x:v>Rasha</x:v>
      </x:c>
      <x:c r="G5" s="38" t="str">
        <x:v>A privileged operator or compromised workload signs an unauthorized software artifact.</x:v>
      </x:c>
      <x:c r="H5" s="38" t="str">
        <x:v>Credential compromise</x:v>
      </x:c>
      <x:c r="I5" s="38" t="str">
        <x:v>Excessive signing capability</x:v>
      </x:c>
      <x:c r="J5" s="38" t="str">
        <x:v>Integrity, Reputation</x:v>
      </x:c>
      <x:c r="K5" s="38" t="n">
        <x:v>3</x:v>
      </x:c>
      <x:c r="L5" s="38" t="n">
        <x:v>5</x:v>
      </x:c>
      <x:c r="M5" s="38" t="n">
        <x:f>K5*L5</x:f>
        <x:v>15</x:v>
      </x:c>
      <x:c r="N5" s="38" t="str">
        <x:f>IF(M5&gt;=15,"Critical",IF(M5&gt;=10,"High",IF(M5&gt;=5,"Medium","Low")))</x:f>
        <x:v>Critical</x:v>
      </x:c>
      <x:c r="O5" s="38" t="str">
        <x:v>Mitigate</x:v>
      </x:c>
      <x:c r="P5" s="38" t="str">
        <x:v>Hardware-backed keys; dual approval; immutable logs; signed build provenance</x:v>
      </x:c>
      <x:c r="Q5" s="38" t="str">
        <x:v>ISO 27001</x:v>
      </x:c>
      <x:c r="R5" s="38" t="str">
        <x:v>A.8.24</x:v>
      </x:c>
      <x:c r="S5" s="38" t="n">
        <x:v>2</x:v>
      </x:c>
      <x:c r="T5" s="38" t="n">
        <x:v>3</x:v>
      </x:c>
      <x:c r="U5" s="38" t="n">
        <x:f>S5*T5</x:f>
        <x:v>6</x:v>
      </x:c>
      <x:c r="V5" s="38" t="str">
        <x:f>IF(U5&gt;=15,"Critical",IF(U5&gt;=10,"High",IF(U5&gt;=5,"Medium","Low")))</x:f>
        <x:v>Medium</x:v>
      </x:c>
      <x:c r="W5" s="38" t="str">
        <x:v>In Progress</x:v>
      </x:c>
      <x:c r="X5" s="42" t="n">
        <x:v>46221</x:v>
      </x:c>
      <x:c r="Y5" s="42" t="n">
        <x:v>46233</x:v>
      </x:c>
      <x:c r="Z5" s="42" t="n">
        <x:v>46273</x:v>
      </x:c>
      <x:c r="AA5" s="38" t="str">
        <x:v>EVD-APP-001</x:v>
      </x:c>
      <x:c r="AB5" s="38" t="str">
        <x:v>Synthetic record for GRCx product testing.</x:v>
      </x:c>
    </x:row>
    <x:row r="6">
      <x:c r="A6" s="38" t="str">
        <x:v>RISK-APP-002</x:v>
      </x:c>
      <x:c r="B6" s="38" t="str">
        <x:v>Fraudulent application approval</x:v>
      </x:c>
      <x:c r="C6" s="38" t="str">
        <x:v>Application Security</x:v>
      </x:c>
      <x:c r="D6" s="38" t="str">
        <x:v>Application Review Platform</x:v>
      </x:c>
      <x:c r="E6" s="38" t="str">
        <x:v>App Governance</x:v>
      </x:c>
      <x:c r="F6" s="38" t="str">
        <x:v>Adel</x:v>
      </x:c>
      <x:c r="G6" s="38" t="str">
        <x:v>A malicious application bypasses review and is approved for distribution.</x:v>
      </x:c>
      <x:c r="H6" s="38" t="str">
        <x:v>Social engineering or process bypass</x:v>
      </x:c>
      <x:c r="I6" s="38" t="str">
        <x:v>Insufficient reviewer segregation</x:v>
      </x:c>
      <x:c r="J6" s="38" t="str">
        <x:v>Customer Safety, Reputation</x:v>
      </x:c>
      <x:c r="K6" s="38" t="n">
        <x:v>3</x:v>
      </x:c>
      <x:c r="L6" s="38" t="n">
        <x:v>5</x:v>
      </x:c>
      <x:c r="M6" s="38" t="n">
        <x:f>K6*L6</x:f>
        <x:v>15</x:v>
      </x:c>
      <x:c r="N6" s="38" t="str">
        <x:f>IF(M6&gt;=15,"Critical",IF(M6&gt;=10,"High",IF(M6&gt;=5,"Medium","Low")))</x:f>
        <x:v>Critical</x:v>
      </x:c>
      <x:c r="O6" s="38" t="str">
        <x:v>Mitigate</x:v>
      </x:c>
      <x:c r="P6" s="38" t="str">
        <x:v>Segregated review; dynamic analysis; reviewer QA; high-risk escalation</x:v>
      </x:c>
      <x:c r="Q6" s="38" t="str">
        <x:v>NCA ECC / ISO 27001</x:v>
      </x:c>
      <x:c r="R6" s="38" t="str">
        <x:v>APP-06 / A.8.26</x:v>
      </x:c>
      <x:c r="S6" s="38" t="n">
        <x:v>2</x:v>
      </x:c>
      <x:c r="T6" s="38" t="n">
        <x:v>3</x:v>
      </x:c>
      <x:c r="U6" s="38" t="n">
        <x:f>S6*T6</x:f>
        <x:v>6</x:v>
      </x:c>
      <x:c r="V6" s="38" t="str">
        <x:f>IF(U6&gt;=15,"Critical",IF(U6&gt;=10,"High",IF(U6&gt;=5,"Medium","Low")))</x:f>
        <x:v>Medium</x:v>
      </x:c>
      <x:c r="W6" s="38" t="str">
        <x:v>Open</x:v>
      </x:c>
      <x:c r="X6" s="42" t="n">
        <x:v>46207</x:v>
      </x:c>
      <x:c r="Y6" s="42" t="n">
        <x:v>46231</x:v>
      </x:c>
      <x:c r="Z6" s="42" t="n">
        <x:v>46281</x:v>
      </x:c>
      <x:c r="AA6" s="38" t="str">
        <x:v>EVD-APP-002</x:v>
      </x:c>
      <x:c r="AB6" s="38" t="str">
        <x:v>Synthetic record for GRCx product testing.</x:v>
      </x:c>
    </x:row>
    <x:row r="7">
      <x:c r="A7" s="38" t="str">
        <x:v>RISK-APP-003</x:v>
      </x:c>
      <x:c r="B7" s="38" t="str">
        <x:v>Wallet token provisioning fraud</x:v>
      </x:c>
      <x:c r="C7" s="38" t="str">
        <x:v>Payment Security</x:v>
      </x:c>
      <x:c r="D7" s="38" t="str">
        <x:v>Digital Wallet Token Service</x:v>
      </x:c>
      <x:c r="E7" s="38" t="str">
        <x:v>Payments</x:v>
      </x:c>
      <x:c r="F7" s="38" t="str">
        <x:v>Yousef</x:v>
      </x:c>
      <x:c r="G7" s="38" t="str">
        <x:v>A fraudster provisions a payment token using compromised identity or device signals.</x:v>
      </x:c>
      <x:c r="H7" s="38" t="str">
        <x:v>Account takeover</x:v>
      </x:c>
      <x:c r="I7" s="38" t="str">
        <x:v>Weak step-up verification</x:v>
      </x:c>
      <x:c r="J7" s="38" t="str">
        <x:v>Financial, Reputation</x:v>
      </x:c>
      <x:c r="K7" s="38" t="n">
        <x:v>4</x:v>
      </x:c>
      <x:c r="L7" s="38" t="n">
        <x:v>5</x:v>
      </x:c>
      <x:c r="M7" s="38" t="n">
        <x:f>K7*L7</x:f>
        <x:v>20</x:v>
      </x:c>
      <x:c r="N7" s="38" t="str">
        <x:f>IF(M7&gt;=15,"Critical",IF(M7&gt;=10,"High",IF(M7&gt;=5,"Medium","Low")))</x:f>
        <x:v>Critical</x:v>
      </x:c>
      <x:c r="O7" s="38" t="str">
        <x:v>Mitigate</x:v>
      </x:c>
      <x:c r="P7" s="38" t="str">
        <x:v>Risk-based verification; device attestation; transaction analytics; issuer confirmation</x:v>
      </x:c>
      <x:c r="Q7" s="38" t="str">
        <x:v>PCI DSS</x:v>
      </x:c>
      <x:c r="R7" s="38" t="str">
        <x:v>PCI-8.4</x:v>
      </x:c>
      <x:c r="S7" s="38" t="n">
        <x:v>3</x:v>
      </x:c>
      <x:c r="T7" s="38" t="n">
        <x:v>3</x:v>
      </x:c>
      <x:c r="U7" s="38" t="n">
        <x:f>S7*T7</x:f>
        <x:v>9</x:v>
      </x:c>
      <x:c r="V7" s="38" t="str">
        <x:f>IF(U7&gt;=15,"Critical",IF(U7&gt;=10,"High",IF(U7&gt;=5,"Medium","Low")))</x:f>
        <x:v>Medium</x:v>
      </x:c>
      <x:c r="W7" s="38" t="str">
        <x:v>In Progress</x:v>
      </x:c>
      <x:c r="X7" s="42" t="n">
        <x:v>46193</x:v>
      </x:c>
      <x:c r="Y7" s="42" t="n">
        <x:v>46229</x:v>
      </x:c>
      <x:c r="Z7" s="42" t="n">
        <x:v>46289</x:v>
      </x:c>
      <x:c r="AA7" s="38" t="str">
        <x:v>EVD-APP-003</x:v>
      </x:c>
      <x:c r="AB7" s="38" t="str">
        <x:v>Synthetic record for GRCx product testing.</x:v>
      </x:c>
    </x:row>
    <x:row r="8">
      <x:c r="A8" s="38" t="str">
        <x:v>RISK-APP-004</x:v>
      </x:c>
      <x:c r="B8" s="38" t="str">
        <x:v>Activation service denial of service</x:v>
      </x:c>
      <x:c r="C8" s="38" t="str">
        <x:v>Availability</x:v>
      </x:c>
      <x:c r="D8" s="38" t="str">
        <x:v>Device Activation Service</x:v>
      </x:c>
      <x:c r="E8" s="38" t="str">
        <x:v>Cloud Services</x:v>
      </x:c>
      <x:c r="F8" s="38" t="str">
        <x:v>Mona</x:v>
      </x:c>
      <x:c r="G8" s="38" t="str">
        <x:v>A service disruption prevents customers from activating newly purchased devices.</x:v>
      </x:c>
      <x:c r="H8" s="38" t="str">
        <x:v>Volumetric attack or regional outage</x:v>
      </x:c>
      <x:c r="I8" s="38" t="str">
        <x:v>Capacity and failover dependency</x:v>
      </x:c>
      <x:c r="J8" s="38" t="str">
        <x:v>Availability, Customer Experience</x:v>
      </x:c>
      <x:c r="K8" s="38" t="n">
        <x:v>3</x:v>
      </x:c>
      <x:c r="L8" s="38" t="n">
        <x:v>5</x:v>
      </x:c>
      <x:c r="M8" s="38" t="n">
        <x:f>K8*L8</x:f>
        <x:v>15</x:v>
      </x:c>
      <x:c r="N8" s="38" t="str">
        <x:f>IF(M8&gt;=15,"Critical",IF(M8&gt;=10,"High",IF(M8&gt;=5,"Medium","Low")))</x:f>
        <x:v>Critical</x:v>
      </x:c>
      <x:c r="O8" s="38" t="str">
        <x:v>Mitigate</x:v>
      </x:c>
      <x:c r="P8" s="38" t="str">
        <x:v>Anycast protection; regional failover; rate limiting; capacity exercises</x:v>
      </x:c>
      <x:c r="Q8" s="38" t="str">
        <x:v>ISO 22301</x:v>
      </x:c>
      <x:c r="R8" s="38" t="str">
        <x:v>BCM-06</x:v>
      </x:c>
      <x:c r="S8" s="38" t="n">
        <x:v>2</x:v>
      </x:c>
      <x:c r="T8" s="38" t="n">
        <x:v>3</x:v>
      </x:c>
      <x:c r="U8" s="38" t="n">
        <x:f>S8*T8</x:f>
        <x:v>6</x:v>
      </x:c>
      <x:c r="V8" s="38" t="str">
        <x:f>IF(U8&gt;=15,"Critical",IF(U8&gt;=10,"High",IF(U8&gt;=5,"Medium","Low")))</x:f>
        <x:v>Medium</x:v>
      </x:c>
      <x:c r="W8" s="38" t="str">
        <x:v>Open</x:v>
      </x:c>
      <x:c r="X8" s="42" t="n">
        <x:v>46179</x:v>
      </x:c>
      <x:c r="Y8" s="42" t="n">
        <x:v>46227</x:v>
      </x:c>
      <x:c r="Z8" s="42" t="n">
        <x:v>46297</x:v>
      </x:c>
      <x:c r="AA8" s="38" t="str">
        <x:v>EVD-APP-004</x:v>
      </x:c>
      <x:c r="AB8" s="38" t="str">
        <x:v>Synthetic record for GRCx product testing.</x:v>
      </x:c>
    </x:row>
    <x:row r="9">
      <x:c r="A9" s="38" t="str">
        <x:v>RISK-APP-005</x:v>
      </x:c>
      <x:c r="B9" s="38" t="str">
        <x:v>Privacy request identity mismatch</x:v>
      </x:c>
      <x:c r="C9" s="38" t="str">
        <x:v>Privacy</x:v>
      </x:c>
      <x:c r="D9" s="38" t="str">
        <x:v>Customer Privacy Request Portal</x:v>
      </x:c>
      <x:c r="E9" s="38" t="str">
        <x:v>Privacy</x:v>
      </x:c>
      <x:c r="F9" s="38" t="str">
        <x:v>Hanan</x:v>
      </x:c>
      <x:c r="G9" s="38" t="str">
        <x:v>A privacy request is processed for the wrong person due to inadequate identity verification.</x:v>
      </x:c>
      <x:c r="H9" s="38" t="str">
        <x:v>Process error</x:v>
      </x:c>
      <x:c r="I9" s="38" t="str">
        <x:v>Weak identity matching</x:v>
      </x:c>
      <x:c r="J9" s="38" t="str">
        <x:v>Privacy, Legal</x:v>
      </x:c>
      <x:c r="K9" s="38" t="n">
        <x:v>3</x:v>
      </x:c>
      <x:c r="L9" s="38" t="n">
        <x:v>5</x:v>
      </x:c>
      <x:c r="M9" s="38" t="n">
        <x:f>K9*L9</x:f>
        <x:v>15</x:v>
      </x:c>
      <x:c r="N9" s="38" t="str">
        <x:f>IF(M9&gt;=15,"Critical",IF(M9&gt;=10,"High",IF(M9&gt;=5,"Medium","Low")))</x:f>
        <x:v>Critical</x:v>
      </x:c>
      <x:c r="O9" s="38" t="str">
        <x:v>Mitigate</x:v>
      </x:c>
      <x:c r="P9" s="38" t="str">
        <x:v>Multi-factor verification; data minimization; approval checkpoints; audit trail</x:v>
      </x:c>
      <x:c r="Q9" s="38" t="str">
        <x:v>PDPL</x:v>
      </x:c>
      <x:c r="R9" s="38" t="str">
        <x:v>PRV-07</x:v>
      </x:c>
      <x:c r="S9" s="38" t="n">
        <x:v>2</x:v>
      </x:c>
      <x:c r="T9" s="38" t="n">
        <x:v>2</x:v>
      </x:c>
      <x:c r="U9" s="38" t="n">
        <x:f>S9*T9</x:f>
        <x:v>4</x:v>
      </x:c>
      <x:c r="V9" s="38" t="str">
        <x:f>IF(U9&gt;=15,"Critical",IF(U9&gt;=10,"High",IF(U9&gt;=5,"Medium","Low")))</x:f>
        <x:v>Low</x:v>
      </x:c>
      <x:c r="W9" s="38" t="str">
        <x:v>Open</x:v>
      </x:c>
      <x:c r="X9" s="42" t="n">
        <x:v>46165</x:v>
      </x:c>
      <x:c r="Y9" s="42" t="n">
        <x:v>46225</x:v>
      </x:c>
      <x:c r="Z9" s="42" t="n">
        <x:v>46305</x:v>
      </x:c>
      <x:c r="AA9" s="38" t="str">
        <x:v>EVD-APP-005</x:v>
      </x:c>
      <x:c r="AB9" s="38" t="str">
        <x:v>Synthetic record for GRCx product testing.</x:v>
      </x:c>
    </x:row>
    <x:row r="10">
      <x:c r="A10" s="38" t="str">
        <x:v>RISK-APP-006</x:v>
      </x:c>
      <x:c r="B10" s="38" t="str">
        <x:v>Retail POS malware infection</x:v>
      </x:c>
      <x:c r="C10" s="38" t="str">
        <x:v>Endpoint Security</x:v>
      </x:c>
      <x:c r="D10" s="38" t="str">
        <x:v>Retail Point-of-Sale Estate</x:v>
      </x:c>
      <x:c r="E10" s="38" t="str">
        <x:v>Retail Technology</x:v>
      </x:c>
      <x:c r="F10" s="38" t="str">
        <x:v>Faisal</x:v>
      </x:c>
      <x:c r="G10" s="38" t="str">
        <x:v>Malware compromises a retail endpoint and attempts to capture transaction or employee data.</x:v>
      </x:c>
      <x:c r="H10" s="38" t="str">
        <x:v>External attacker</x:v>
      </x:c>
      <x:c r="I10" s="38" t="str">
        <x:v>Delayed endpoint updates</x:v>
      </x:c>
      <x:c r="J10" s="38" t="str">
        <x:v>Confidentiality, Operations</x:v>
      </x:c>
      <x:c r="K10" s="38" t="n">
        <x:v>3</x:v>
      </x:c>
      <x:c r="L10" s="38" t="n">
        <x:v>5</x:v>
      </x:c>
      <x:c r="M10" s="38" t="n">
        <x:f>K10*L10</x:f>
        <x:v>15</x:v>
      </x:c>
      <x:c r="N10" s="38" t="str">
        <x:f>IF(M10&gt;=15,"Critical",IF(M10&gt;=10,"High",IF(M10&gt;=5,"Medium","Low")))</x:f>
        <x:v>Critical</x:v>
      </x:c>
      <x:c r="O10" s="38" t="str">
        <x:v>Mitigate</x:v>
      </x:c>
      <x:c r="P10" s="38" t="str">
        <x:v>Application control; EDR; network segmentation; emergency isolation</x:v>
      </x:c>
      <x:c r="Q10" s="38" t="str">
        <x:v>PCI DSS / NCA ECC</x:v>
      </x:c>
      <x:c r="R10" s="38" t="str">
        <x:v>PCI-5 / END-03</x:v>
      </x:c>
      <x:c r="S10" s="38" t="n">
        <x:v>2</x:v>
      </x:c>
      <x:c r="T10" s="38" t="n">
        <x:v>3</x:v>
      </x:c>
      <x:c r="U10" s="38" t="n">
        <x:f>S10*T10</x:f>
        <x:v>6</x:v>
      </x:c>
      <x:c r="V10" s="38" t="str">
        <x:f>IF(U10&gt;=15,"Critical",IF(U10&gt;=10,"High",IF(U10&gt;=5,"Medium","Low")))</x:f>
        <x:v>Medium</x:v>
      </x:c>
      <x:c r="W10" s="38" t="str">
        <x:v>Pending Evidence</x:v>
      </x:c>
      <x:c r="X10" s="42" t="n">
        <x:v>46151</x:v>
      </x:c>
      <x:c r="Y10" s="42" t="n">
        <x:v>46223</x:v>
      </x:c>
      <x:c r="Z10" s="42" t="n">
        <x:v>46313</x:v>
      </x:c>
      <x:c r="AA10" s="38" t="str">
        <x:v>EVD-APP-006</x:v>
      </x:c>
      <x:c r="AB10" s="38" t="str">
        <x:v>Synthetic record for GRCx product testing.</x:v>
      </x:c>
    </x:row>
    <x:row r="11">
      <x:c r="A11" s="38" t="str">
        <x:v>RISK-APP-007</x:v>
      </x:c>
      <x:c r="B11" s="38" t="str">
        <x:v>Cloud backup recovery gap</x:v>
      </x:c>
      <x:c r="C11" s="38" t="str">
        <x:v>Disaster Recovery</x:v>
      </x:c>
      <x:c r="D11" s="38" t="str">
        <x:v>Cloud Backup Platform</x:v>
      </x:c>
      <x:c r="E11" s="38" t="str">
        <x:v>Cloud Services</x:v>
      </x:c>
      <x:c r="F11" s="38" t="str">
        <x:v>Nadia</x:v>
      </x:c>
      <x:c r="G11" s="38" t="str">
        <x:v>Backups exist but do not restore a subset of customer data within approved objectives.</x:v>
      </x:c>
      <x:c r="H11" s="38" t="str">
        <x:v>Operational failure</x:v>
      </x:c>
      <x:c r="I11" s="38" t="str">
        <x:v>Incomplete restore testing</x:v>
      </x:c>
      <x:c r="J11" s="38" t="str">
        <x:v>Availability, Trust</x:v>
      </x:c>
      <x:c r="K11" s="38" t="n">
        <x:v>3</x:v>
      </x:c>
      <x:c r="L11" s="38" t="n">
        <x:v>5</x:v>
      </x:c>
      <x:c r="M11" s="38" t="n">
        <x:f>K11*L11</x:f>
        <x:v>15</x:v>
      </x:c>
      <x:c r="N11" s="38" t="str">
        <x:f>IF(M11&gt;=15,"Critical",IF(M11&gt;=10,"High",IF(M11&gt;=5,"Medium","Low")))</x:f>
        <x:v>Critical</x:v>
      </x:c>
      <x:c r="O11" s="38" t="str">
        <x:v>Mitigate</x:v>
      </x:c>
      <x:c r="P11" s="38" t="str">
        <x:v>Automated restore sampling; integrity checks; regional recovery tests</x:v>
      </x:c>
      <x:c r="Q11" s="38" t="str">
        <x:v>ISO 22301</x:v>
      </x:c>
      <x:c r="R11" s="38" t="str">
        <x:v>DR-05</x:v>
      </x:c>
      <x:c r="S11" s="38" t="n">
        <x:v>2</x:v>
      </x:c>
      <x:c r="T11" s="38" t="n">
        <x:v>3</x:v>
      </x:c>
      <x:c r="U11" s="38" t="n">
        <x:f>S11*T11</x:f>
        <x:v>6</x:v>
      </x:c>
      <x:c r="V11" s="38" t="str">
        <x:f>IF(U11&gt;=15,"Critical",IF(U11&gt;=10,"High",IF(U11&gt;=5,"Medium","Low")))</x:f>
        <x:v>Medium</x:v>
      </x:c>
      <x:c r="W11" s="38" t="str">
        <x:v>In Progress</x:v>
      </x:c>
      <x:c r="X11" s="42" t="n">
        <x:v>46137</x:v>
      </x:c>
      <x:c r="Y11" s="42" t="n">
        <x:v>46221</x:v>
      </x:c>
      <x:c r="Z11" s="42" t="n">
        <x:v>46321</x:v>
      </x:c>
      <x:c r="AA11" s="38" t="str">
        <x:v>EVD-APP-007</x:v>
      </x:c>
      <x:c r="AB11" s="38" t="str">
        <x:v>Synthetic record for GRCx product testing.</x:v>
      </x:c>
    </x:row>
    <x:row r="12">
      <x:c r="A12" s="38" t="str">
        <x:v>RISK-APP-008</x:v>
      </x:c>
      <x:c r="B12" s="38" t="str">
        <x:v>Emergency vault access failure</x:v>
      </x:c>
      <x:c r="C12" s="38" t="str">
        <x:v>Business Continuity</x:v>
      </x:c>
      <x:c r="D12" s="38" t="str">
        <x:v>Emergency Recovery Vault</x:v>
      </x:c>
      <x:c r="E12" s="38" t="str">
        <x:v>Business Resilience</x:v>
      </x:c>
      <x:c r="F12" s="38" t="str">
        <x:v>Saud</x:v>
      </x:c>
      <x:c r="G12" s="38" t="str">
        <x:v>Break-glass credentials are unavailable or invalid during a major incident.</x:v>
      </x:c>
      <x:c r="H12" s="38" t="str">
        <x:v>Process failure</x:v>
      </x:c>
      <x:c r="I12" s="38" t="str">
        <x:v>Infrequent vault validation</x:v>
      </x:c>
      <x:c r="J12" s="38" t="str">
        <x:v>Availability, Operations</x:v>
      </x:c>
      <x:c r="K12" s="38" t="n">
        <x:v>2</x:v>
      </x:c>
      <x:c r="L12" s="38" t="n">
        <x:v>5</x:v>
      </x:c>
      <x:c r="M12" s="38" t="n">
        <x:f>K12*L12</x:f>
        <x:v>10</x:v>
      </x:c>
      <x:c r="N12" s="38" t="str">
        <x:f>IF(M12&gt;=15,"Critical",IF(M12&gt;=10,"High",IF(M12&gt;=5,"Medium","Low")))</x:f>
        <x:v>High</x:v>
      </x:c>
      <x:c r="O12" s="38" t="str">
        <x:v>Mitigate</x:v>
      </x:c>
      <x:c r="P12" s="38" t="str">
        <x:v>Quarterly validation; dual custodians; offline sealed backup</x:v>
      </x:c>
      <x:c r="Q12" s="38" t="str">
        <x:v>ISO 22301</x:v>
      </x:c>
      <x:c r="R12" s="38" t="str">
        <x:v>BCM-08</x:v>
      </x:c>
      <x:c r="S12" s="38" t="n">
        <x:v>1</x:v>
      </x:c>
      <x:c r="T12" s="38" t="n">
        <x:v>3</x:v>
      </x:c>
      <x:c r="U12" s="38" t="n">
        <x:f>S12*T12</x:f>
        <x:v>3</x:v>
      </x:c>
      <x:c r="V12" s="38" t="str">
        <x:f>IF(U12&gt;=15,"Critical",IF(U12&gt;=10,"High",IF(U12&gt;=5,"Medium","Low")))</x:f>
        <x:v>Low</x:v>
      </x:c>
      <x:c r="W12" s="38" t="str">
        <x:v>Open</x:v>
      </x:c>
      <x:c r="X12" s="42" t="n">
        <x:v>46123</x:v>
      </x:c>
      <x:c r="Y12" s="42" t="n">
        <x:v>46219</x:v>
      </x:c>
      <x:c r="Z12" s="42" t="n">
        <x:v>46329</x:v>
      </x:c>
      <x:c r="AA12" s="38" t="str">
        <x:v>EVD-APP-008</x:v>
      </x:c>
      <x:c r="AB12" s="38" t="str">
        <x:v>Synthetic record for GRCx product testing.</x:v>
      </x:c>
    </x:row>
    <x:row r="13">
      <x:c r="A13" s="38" t="str">
        <x:v>RISK-APP-009</x:v>
      </x:c>
      <x:c r="B13" s="38" t="str">
        <x:v>Application telemetry privacy leakage</x:v>
      </x:c>
      <x:c r="C13" s="38" t="str">
        <x:v>Data Protection</x:v>
      </x:c>
      <x:c r="D13" s="38" t="str">
        <x:v>Application Review Platform</x:v>
      </x:c>
      <x:c r="E13" s="38" t="str">
        <x:v>Privacy</x:v>
      </x:c>
      <x:c r="F13" s="38" t="str">
        <x:v>Lama</x:v>
      </x:c>
      <x:c r="G13" s="38" t="str">
        <x:v>Diagnostic telemetry includes identifiers or sensitive application content beyond approved purpose.</x:v>
      </x:c>
      <x:c r="H13" s="38" t="str">
        <x:v>Developer error</x:v>
      </x:c>
      <x:c r="I13" s="38" t="str">
        <x:v>Insufficient telemetry classification</x:v>
      </x:c>
      <x:c r="J13" s="38" t="str">
        <x:v>Privacy, Compliance</x:v>
      </x:c>
      <x:c r="K13" s="38" t="n">
        <x:v>3</x:v>
      </x:c>
      <x:c r="L13" s="38" t="n">
        <x:v>4</x:v>
      </x:c>
      <x:c r="M13" s="38" t="n">
        <x:f>K13*L13</x:f>
        <x:v>12</x:v>
      </x:c>
      <x:c r="N13" s="38" t="str">
        <x:f>IF(M13&gt;=15,"Critical",IF(M13&gt;=10,"High",IF(M13&gt;=5,"Medium","Low")))</x:f>
        <x:v>High</x:v>
      </x:c>
      <x:c r="O13" s="38" t="str">
        <x:v>Mitigate</x:v>
      </x:c>
      <x:c r="P13" s="38" t="str">
        <x:v>Telemetry schema review; masking; retention limits; privacy tests</x:v>
      </x:c>
      <x:c r="Q13" s="38" t="str">
        <x:v>PDPL</x:v>
      </x:c>
      <x:c r="R13" s="38" t="str">
        <x:v>DP-06</x:v>
      </x:c>
      <x:c r="S13" s="38" t="n">
        <x:v>2</x:v>
      </x:c>
      <x:c r="T13" s="38" t="n">
        <x:v>2</x:v>
      </x:c>
      <x:c r="U13" s="38" t="n">
        <x:f>S13*T13</x:f>
        <x:v>4</x:v>
      </x:c>
      <x:c r="V13" s="38" t="str">
        <x:f>IF(U13&gt;=15,"Critical",IF(U13&gt;=10,"High",IF(U13&gt;=5,"Medium","Low")))</x:f>
        <x:v>Low</x:v>
      </x:c>
      <x:c r="W13" s="38" t="str">
        <x:v>Pending Approval</x:v>
      </x:c>
      <x:c r="X13" s="42" t="n">
        <x:v>46109</x:v>
      </x:c>
      <x:c r="Y13" s="42" t="n">
        <x:v>46217</x:v>
      </x:c>
      <x:c r="Z13" s="42" t="n">
        <x:v>46337</x:v>
      </x:c>
      <x:c r="AA13" s="38" t="str">
        <x:v>EVD-APP-009</x:v>
      </x:c>
      <x:c r="AB13" s="38" t="str">
        <x:v>Synthetic record for GRCx product testing.</x:v>
      </x:c>
    </x:row>
    <x:row r="14">
      <x:c r="A14" s="38" t="str">
        <x:v>RISK-APP-010</x:v>
      </x:c>
      <x:c r="B14" s="38" t="str">
        <x:v>Third-party SDK supply-chain compromise</x:v>
      </x:c>
      <x:c r="C14" s="38" t="str">
        <x:v>Third-Party Risk</x:v>
      </x:c>
      <x:c r="D14" s="38" t="str">
        <x:v>Application Review Platform</x:v>
      </x:c>
      <x:c r="E14" s="38" t="str">
        <x:v>App Governance</x:v>
      </x:c>
      <x:c r="F14" s="38" t="str">
        <x:v>Kareem</x:v>
      </x:c>
      <x:c r="G14" s="38" t="str">
        <x:v>A widely used SDK includes malicious or vulnerable functionality.</x:v>
      </x:c>
      <x:c r="H14" s="38" t="str">
        <x:v>Supplier compromise</x:v>
      </x:c>
      <x:c r="I14" s="38" t="str">
        <x:v>Limited component provenance</x:v>
      </x:c>
      <x:c r="J14" s="38" t="str">
        <x:v>Customer Safety, Reputation</x:v>
      </x:c>
      <x:c r="K14" s="38" t="n">
        <x:v>3</x:v>
      </x:c>
      <x:c r="L14" s="38" t="n">
        <x:v>5</x:v>
      </x:c>
      <x:c r="M14" s="38" t="n">
        <x:f>K14*L14</x:f>
        <x:v>15</x:v>
      </x:c>
      <x:c r="N14" s="38" t="str">
        <x:f>IF(M14&gt;=15,"Critical",IF(M14&gt;=10,"High",IF(M14&gt;=5,"Medium","Low")))</x:f>
        <x:v>Critical</x:v>
      </x:c>
      <x:c r="O14" s="38" t="str">
        <x:v>Mitigate</x:v>
      </x:c>
      <x:c r="P14" s="38" t="str">
        <x:v>SBOM; reputation checks; sandbox analysis; rapid revocation process</x:v>
      </x:c>
      <x:c r="Q14" s="38" t="str">
        <x:v>ISO 27001</x:v>
      </x:c>
      <x:c r="R14" s="38" t="str">
        <x:v>A.5.21</x:v>
      </x:c>
      <x:c r="S14" s="38" t="n">
        <x:v>2</x:v>
      </x:c>
      <x:c r="T14" s="38" t="n">
        <x:v>3</x:v>
      </x:c>
      <x:c r="U14" s="38" t="n">
        <x:f>S14*T14</x:f>
        <x:v>6</x:v>
      </x:c>
      <x:c r="V14" s="38" t="str">
        <x:f>IF(U14&gt;=15,"Critical",IF(U14&gt;=10,"High",IF(U14&gt;=5,"Medium","Low")))</x:f>
        <x:v>Medium</x:v>
      </x:c>
      <x:c r="W14" s="38" t="str">
        <x:v>Open</x:v>
      </x:c>
      <x:c r="X14" s="42" t="n">
        <x:v>46095</x:v>
      </x:c>
      <x:c r="Y14" s="42" t="n">
        <x:v>46215</x:v>
      </x:c>
      <x:c r="Z14" s="42" t="n">
        <x:v>46345</x:v>
      </x:c>
      <x:c r="AA14" s="38" t="str">
        <x:v>EVD-APP-010</x:v>
      </x:c>
      <x:c r="AB14" s="38" t="str">
        <x:v>Synthetic record for GRCx product testing.</x:v>
      </x:c>
    </x:row>
    <x:row r="15">
      <x:c r="A15" s="38" t="str">
        <x:v>RISK-APP-011</x:v>
      </x:c>
      <x:c r="B15" s="38" t="str">
        <x:v>Retail identity role conflict</x:v>
      </x:c>
      <x:c r="C15" s="38" t="str">
        <x:v>Identity Governance</x:v>
      </x:c>
      <x:c r="D15" s="38" t="str">
        <x:v>Retail Point-of-Sale Estate</x:v>
      </x:c>
      <x:c r="E15" s="38" t="str">
        <x:v>Retail Technology</x:v>
      </x:c>
      <x:c r="F15" s="38" t="str">
        <x:v>Aseel</x:v>
      </x:c>
      <x:c r="G15" s="38" t="str">
        <x:v>A retail employee receives conflicting cashier and administrative privileges.</x:v>
      </x:c>
      <x:c r="H15" s="38" t="str">
        <x:v>Access provisioning error</x:v>
      </x:c>
      <x:c r="I15" s="38" t="str">
        <x:v>Weak segregation-of-duties validation</x:v>
      </x:c>
      <x:c r="J15" s="38" t="str">
        <x:v>Financial, Integrity</x:v>
      </x:c>
      <x:c r="K15" s="38" t="n">
        <x:v>3</x:v>
      </x:c>
      <x:c r="L15" s="38" t="n">
        <x:v>4</x:v>
      </x:c>
      <x:c r="M15" s="38" t="n">
        <x:f>K15*L15</x:f>
        <x:v>12</x:v>
      </x:c>
      <x:c r="N15" s="38" t="str">
        <x:f>IF(M15&gt;=15,"Critical",IF(M15&gt;=10,"High",IF(M15&gt;=5,"Medium","Low")))</x:f>
        <x:v>High</x:v>
      </x:c>
      <x:c r="O15" s="38" t="str">
        <x:v>Mitigate</x:v>
      </x:c>
      <x:c r="P15" s="38" t="str">
        <x:v>Role rules; approval workflow; monthly access certification</x:v>
      </x:c>
      <x:c r="Q15" s="38" t="str">
        <x:v>NCA ECC</x:v>
      </x:c>
      <x:c r="R15" s="38" t="str">
        <x:v>IAM-06</x:v>
      </x:c>
      <x:c r="S15" s="38" t="n">
        <x:v>2</x:v>
      </x:c>
      <x:c r="T15" s="38" t="n">
        <x:v>2</x:v>
      </x:c>
      <x:c r="U15" s="38" t="n">
        <x:f>S15*T15</x:f>
        <x:v>4</x:v>
      </x:c>
      <x:c r="V15" s="38" t="str">
        <x:f>IF(U15&gt;=15,"Critical",IF(U15&gt;=10,"High",IF(U15&gt;=5,"Medium","Low")))</x:f>
        <x:v>Low</x:v>
      </x:c>
      <x:c r="W15" s="38" t="str">
        <x:v>Open</x:v>
      </x:c>
      <x:c r="X15" s="42" t="n">
        <x:v>46081</x:v>
      </x:c>
      <x:c r="Y15" s="42" t="n">
        <x:v>46213</x:v>
      </x:c>
      <x:c r="Z15" s="42" t="n">
        <x:v>46353</x:v>
      </x:c>
      <x:c r="AA15" s="38" t="str">
        <x:v>EVD-APP-011</x:v>
      </x:c>
      <x:c r="AB15" s="38" t="str">
        <x:v>Synthetic record for GRCx product testing.</x:v>
      </x:c>
    </x:row>
    <x:row r="16">
      <x:c r="A16" s="38" t="str">
        <x:v>RISK-APP-012</x:v>
      </x:c>
      <x:c r="B16" s="38" t="str">
        <x:v>Service exception accumulation</x:v>
      </x:c>
      <x:c r="C16" s="38" t="str">
        <x:v>Governance</x:v>
      </x:c>
      <x:c r="D16" s="38" t="str">
        <x:v>Device Activation Service</x:v>
      </x:c>
      <x:c r="E16" s="38" t="str">
        <x:v>GRC</x:v>
      </x:c>
      <x:c r="F16" s="38" t="str">
        <x:v>Walid</x:v>
      </x:c>
      <x:c r="G16" s="38" t="str">
        <x:v>Temporary security exceptions remain open beyond approved expiry and reduce the baseline.</x:v>
      </x:c>
      <x:c r="H16" s="38" t="str">
        <x:v>Governance failure</x:v>
      </x:c>
      <x:c r="I16" s="38" t="str">
        <x:v>Manual exception tracking</x:v>
      </x:c>
      <x:c r="J16" s="38" t="str">
        <x:v>Compliance, Security</x:v>
      </x:c>
      <x:c r="K16" s="38" t="n">
        <x:v>4</x:v>
      </x:c>
      <x:c r="L16" s="38" t="n">
        <x:v>4</x:v>
      </x:c>
      <x:c r="M16" s="38" t="n">
        <x:f>K16*L16</x:f>
        <x:v>16</x:v>
      </x:c>
      <x:c r="N16" s="38" t="str">
        <x:f>IF(M16&gt;=15,"Critical",IF(M16&gt;=10,"High",IF(M16&gt;=5,"Medium","Low")))</x:f>
        <x:v>Critical</x:v>
      </x:c>
      <x:c r="O16" s="38" t="str">
        <x:v>Mitigate</x:v>
      </x:c>
      <x:c r="P16" s="38" t="str">
        <x:v>Central exception register; automatic expiry; owner reminders; KPI escalation</x:v>
      </x:c>
      <x:c r="Q16" s="38" t="str">
        <x:v>NCA ECC</x:v>
      </x:c>
      <x:c r="R16" s="38" t="str">
        <x:v>GOV-08</x:v>
      </x:c>
      <x:c r="S16" s="38" t="n">
        <x:v>2</x:v>
      </x:c>
      <x:c r="T16" s="38" t="n">
        <x:v>3</x:v>
      </x:c>
      <x:c r="U16" s="38" t="n">
        <x:f>S16*T16</x:f>
        <x:v>6</x:v>
      </x:c>
      <x:c r="V16" s="38" t="str">
        <x:f>IF(U16&gt;=15,"Critical",IF(U16&gt;=10,"High",IF(U16&gt;=5,"Medium","Low")))</x:f>
        <x:v>Medium</x:v>
      </x:c>
      <x:c r="W16" s="38" t="str">
        <x:v>In Progress</x:v>
      </x:c>
      <x:c r="X16" s="42" t="n">
        <x:v>46067</x:v>
      </x:c>
      <x:c r="Y16" s="42" t="n">
        <x:v>46211</x:v>
      </x:c>
      <x:c r="Z16" s="42" t="n">
        <x:v>46361</x:v>
      </x:c>
      <x:c r="AA16" s="38" t="str">
        <x:v>EVD-APP-012</x:v>
      </x:c>
      <x:c r="AB16" s="38" t="str">
        <x:v>Synthetic record for GRCx product testing.</x:v>
      </x:c>
    </x:row>
  </x:sheetData>
  <x:mergeCells>
    <x:mergeCell ref="A1:AB1"/>
    <x:mergeCell ref="A2:AB2"/>
  </x:mergeCells>
  <x:conditionalFormatting sqref="A5:AB16">
    <x:cfRule type="expression" dxfId="4" priority="1">
      <x:formula>MOD(ROW(),2)=0</x:formula>
    </x:cfRule>
  </x:conditionalFormatting>
  <x:conditionalFormatting sqref="N5:N16">
    <x:cfRule type="expression" dxfId="5" priority="2">
      <x:formula>$N5="Critical"</x:formula>
    </x:cfRule>
    <x:cfRule type="expression" dxfId="6" priority="3">
      <x:formula>$N5="High"</x:formula>
    </x:cfRule>
    <x:cfRule type="expression" dxfId="7" priority="4">
      <x:formula>$N5="Medium"</x:formula>
    </x:cfRule>
    <x:cfRule type="expression" dxfId="8" priority="5">
      <x:formula>$N5="Low"</x:formula>
    </x:cfRule>
  </x:conditionalFormatting>
  <x:conditionalFormatting sqref="V5:V16">
    <x:cfRule type="expression" dxfId="9" priority="6">
      <x:formula>$V5="Critical"</x:formula>
    </x:cfRule>
    <x:cfRule type="expression" dxfId="10" priority="7">
      <x:formula>$V5="High"</x:formula>
    </x:cfRule>
    <x:cfRule type="expression" dxfId="11" priority="8">
      <x:formula>$V5="Medium"</x:formula>
    </x:cfRule>
    <x:cfRule type="expression" dxfId="12" priority="9">
      <x:formula>$V5="Low"</x:formula>
    </x:cfRule>
  </x:conditionalFormatting>
  <x:dataValidations count="4">
    <x:dataValidation type="whole" operator="between" sqref="K5:L16">
      <x:formula1>1</x:formula1>
      <x:formula2>5</x:formula2>
    </x:dataValidation>
    <x:dataValidation type="whole" operator="between" sqref="S5:T16">
      <x:formula1>1</x:formula1>
      <x:formula2>5</x:formula2>
    </x:dataValidation>
    <x:dataValidation type="list" sqref="O5:O16">
      <x:formula1>"Mitigate,Transfer,Avoid,Accept"</x:formula1>
    </x:dataValidation>
    <x:dataValidation type="list" sqref="W5:W16">
      <x:formula1>"Open,In Progress,Pending Evidence,Pending Approval,Accepted,Closed"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1ac62908da641f0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9" hidden="0" customWidth="1"/>
    <x:col min="2" max="2" width="17" hidden="0" customWidth="1"/>
    <x:col min="3" max="3" width="18" hidden="0" customWidth="1"/>
    <x:col min="4" max="4" width="44" hidden="0" customWidth="1"/>
    <x:col min="5" max="5" width="17" hidden="0" customWidth="1"/>
    <x:col min="6" max="6" width="13" hidden="0" customWidth="1"/>
    <x:col min="7" max="7" width="16" hidden="0" customWidth="1"/>
    <x:col min="8" max="8" width="18" hidden="0" customWidth="1"/>
    <x:col min="9" max="9" width="23" hidden="0" customWidth="1"/>
    <x:col min="10" max="10" width="23" hidden="0" customWidth="1"/>
    <x:col min="11" max="11" width="20" hidden="0" customWidth="1"/>
    <x:col min="12" max="12" width="18" hidden="0" customWidth="1"/>
    <x:col min="13" max="13" width="31" hidden="0" customWidth="1"/>
    <x:col min="14" max="14" width="42" hidden="0" customWidth="1"/>
    <x:col min="15" max="15" width="16" hidden="0" customWidth="1"/>
  </x:cols>
  <x:sheetData>
    <x:row r="1" ht="34" customHeight="1">
      <x:c r="A1" s="5" t="str">
        <x:v>Apple Risk Treatment Plans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</x:row>
    <x:row r="2" ht="28" customHeight="1">
      <x:c r="A2" s="13" t="str">
        <x:v>Synthetic treatment ownership, cost, due dates, progress, dependencies, and evidence requirements.</x:v>
      </x:c>
      <x:c r="B2" s="13"/>
      <x:c r="C2" s="13"/>
      <x:c r="D2" s="13"/>
      <x:c r="E2" s="13"/>
      <x:c r="F2" s="13"/>
      <x:c r="G2" s="13"/>
      <x:c r="H2" s="13"/>
      <x:c r="I2" s="13"/>
      <x:c r="J2" s="13"/>
      <x:c r="K2" s="13"/>
      <x:c r="L2" s="13"/>
      <x:c r="M2" s="13"/>
      <x:c r="N2" s="13"/>
      <x:c r="O2" s="13"/>
    </x:row>
    <x:row r="4" ht="32" customHeight="1">
      <x:c r="A4" s="30" t="str">
        <x:v>Treatment ID</x:v>
      </x:c>
      <x:c r="B4" s="30" t="str">
        <x:v>Risk ID</x:v>
      </x:c>
      <x:c r="C4" s="30" t="str">
        <x:v>Treatment Type</x:v>
      </x:c>
      <x:c r="D4" s="30" t="str">
        <x:v>Treatment Action</x:v>
      </x:c>
      <x:c r="E4" s="30" t="str">
        <x:v>Action Owner</x:v>
      </x:c>
      <x:c r="F4" s="30" t="str">
        <x:v>Priority</x:v>
      </x:c>
      <x:c r="G4" s="30" t="str">
        <x:v>Planned Start Date</x:v>
      </x:c>
      <x:c r="H4" s="30" t="str">
        <x:v>Target Completion Date</x:v>
      </x:c>
      <x:c r="I4" s="30" t="str">
        <x:v>Estimated One-Time Cost (USD)</x:v>
      </x:c>
      <x:c r="J4" s="30" t="str">
        <x:v>Expected Risk Reduction (%)</x:v>
      </x:c>
      <x:c r="K4" s="30" t="str">
        <x:v>Completion Progress (%)</x:v>
      </x:c>
      <x:c r="L4" s="30" t="str">
        <x:v>Treatment Status</x:v>
      </x:c>
      <x:c r="M4" s="30" t="str">
        <x:v>Dependencies</x:v>
      </x:c>
      <x:c r="N4" s="30" t="str">
        <x:v>Required Evidence</x:v>
      </x:c>
      <x:c r="O4" s="30" t="str">
        <x:v>Last Updated Date</x:v>
      </x:c>
    </x:row>
    <x:row r="5">
      <x:c r="A5" s="38" t="str">
        <x:v>TRT-APP-001</x:v>
      </x:c>
      <x:c r="B5" s="38" t="str">
        <x:v>RISK-APP-001</x:v>
      </x:c>
      <x:c r="C5" s="38" t="str">
        <x:v>Mitigate</x:v>
      </x:c>
      <x:c r="D5" s="38" t="str">
        <x:v>Hardware-backed keys</x:v>
      </x:c>
      <x:c r="E5" s="38" t="str">
        <x:v>Rasha</x:v>
      </x:c>
      <x:c r="F5" s="38" t="str">
        <x:v>Critical</x:v>
      </x:c>
      <x:c r="G5" s="42" t="n">
        <x:v>46236</x:v>
      </x:c>
      <x:c r="H5" s="42" t="n">
        <x:v>46281</x:v>
      </x:c>
      <x:c r="I5" s="44" t="n">
        <x:v>68000</x:v>
      </x:c>
      <x:c r="J5" s="46" t="n">
        <x:v>28</x:v>
      </x:c>
      <x:c r="K5" s="46" t="n">
        <x:v>25</x:v>
      </x:c>
      <x:c r="L5" s="38" t="str">
        <x:v>In Progress</x:v>
      </x:c>
      <x:c r="M5" s="38" t="str">
        <x:v>Technical implementation</x:v>
      </x:c>
      <x:c r="N5" s="38" t="str">
        <x:v>Configuration evidence, test result, and owner approval</x:v>
      </x:c>
      <x:c r="O5" s="42" t="n">
        <x:v>46237</x:v>
      </x:c>
    </x:row>
    <x:row r="6">
      <x:c r="A6" s="38" t="str">
        <x:v>TRT-APP-002</x:v>
      </x:c>
      <x:c r="B6" s="38" t="str">
        <x:v>RISK-APP-002</x:v>
      </x:c>
      <x:c r="C6" s="38" t="str">
        <x:v>Mitigate</x:v>
      </x:c>
      <x:c r="D6" s="38" t="str">
        <x:v>Segregated review</x:v>
      </x:c>
      <x:c r="E6" s="38" t="str">
        <x:v>Adel</x:v>
      </x:c>
      <x:c r="F6" s="38" t="str">
        <x:v>Critical</x:v>
      </x:c>
      <x:c r="G6" s="42" t="n">
        <x:v>46237</x:v>
      </x:c>
      <x:c r="H6" s="42" t="n">
        <x:v>46297</x:v>
      </x:c>
      <x:c r="I6" s="44" t="n">
        <x:v>86000</x:v>
      </x:c>
      <x:c r="J6" s="46" t="n">
        <x:v>31</x:v>
      </x:c>
      <x:c r="K6" s="46" t="n">
        <x:v>40</x:v>
      </x:c>
      <x:c r="L6" s="38" t="str">
        <x:v>In Progress</x:v>
      </x:c>
      <x:c r="M6" s="38" t="str">
        <x:v>Technical implementation</x:v>
      </x:c>
      <x:c r="N6" s="38" t="str">
        <x:v>Configuration evidence, test result, and owner approval</x:v>
      </x:c>
      <x:c r="O6" s="42" t="n">
        <x:v>46239</x:v>
      </x:c>
    </x:row>
    <x:row r="7">
      <x:c r="A7" s="38" t="str">
        <x:v>TRT-APP-003</x:v>
      </x:c>
      <x:c r="B7" s="38" t="str">
        <x:v>RISK-APP-003</x:v>
      </x:c>
      <x:c r="C7" s="38" t="str">
        <x:v>Mitigate</x:v>
      </x:c>
      <x:c r="D7" s="38" t="str">
        <x:v>Risk-based verification</x:v>
      </x:c>
      <x:c r="E7" s="38" t="str">
        <x:v>Yousef</x:v>
      </x:c>
      <x:c r="F7" s="38" t="str">
        <x:v>Critical</x:v>
      </x:c>
      <x:c r="G7" s="42" t="n">
        <x:v>46238</x:v>
      </x:c>
      <x:c r="H7" s="42" t="n">
        <x:v>46313</x:v>
      </x:c>
      <x:c r="I7" s="44" t="n">
        <x:v>104000</x:v>
      </x:c>
      <x:c r="J7" s="46" t="n">
        <x:v>34</x:v>
      </x:c>
      <x:c r="K7" s="46" t="n">
        <x:v>55</x:v>
      </x:c>
      <x:c r="L7" s="38" t="str">
        <x:v>In Progress</x:v>
      </x:c>
      <x:c r="M7" s="38" t="str">
        <x:v>Budget and technical change approval</x:v>
      </x:c>
      <x:c r="N7" s="38" t="str">
        <x:v>Configuration evidence, test result, and owner approval</x:v>
      </x:c>
      <x:c r="O7" s="42" t="n">
        <x:v>46241</x:v>
      </x:c>
    </x:row>
    <x:row r="8">
      <x:c r="A8" s="38" t="str">
        <x:v>TRT-APP-004</x:v>
      </x:c>
      <x:c r="B8" s="38" t="str">
        <x:v>RISK-APP-004</x:v>
      </x:c>
      <x:c r="C8" s="38" t="str">
        <x:v>Mitigate</x:v>
      </x:c>
      <x:c r="D8" s="38" t="str">
        <x:v>Anycast protection</x:v>
      </x:c>
      <x:c r="E8" s="38" t="str">
        <x:v>Mona</x:v>
      </x:c>
      <x:c r="F8" s="38" t="str">
        <x:v>Critical</x:v>
      </x:c>
      <x:c r="G8" s="42" t="n">
        <x:v>46239</x:v>
      </x:c>
      <x:c r="H8" s="42" t="n">
        <x:v>46269</x:v>
      </x:c>
      <x:c r="I8" s="44" t="n">
        <x:v>122000</x:v>
      </x:c>
      <x:c r="J8" s="46" t="n">
        <x:v>37</x:v>
      </x:c>
      <x:c r="K8" s="46" t="n">
        <x:v>70</x:v>
      </x:c>
      <x:c r="L8" s="38" t="str">
        <x:v>In Progress</x:v>
      </x:c>
      <x:c r="M8" s="38" t="str">
        <x:v>Technical implementation</x:v>
      </x:c>
      <x:c r="N8" s="38" t="str">
        <x:v>Configuration evidence, test result, and owner approval</x:v>
      </x:c>
      <x:c r="O8" s="42" t="n">
        <x:v>46243</x:v>
      </x:c>
    </x:row>
    <x:row r="9">
      <x:c r="A9" s="38" t="str">
        <x:v>TRT-APP-005</x:v>
      </x:c>
      <x:c r="B9" s="38" t="str">
        <x:v>RISK-APP-005</x:v>
      </x:c>
      <x:c r="C9" s="38" t="str">
        <x:v>Mitigate</x:v>
      </x:c>
      <x:c r="D9" s="38" t="str">
        <x:v>Multi-factor verification</x:v>
      </x:c>
      <x:c r="E9" s="38" t="str">
        <x:v>Hanan</x:v>
      </x:c>
      <x:c r="F9" s="38" t="str">
        <x:v>Critical</x:v>
      </x:c>
      <x:c r="G9" s="42" t="n">
        <x:v>46240</x:v>
      </x:c>
      <x:c r="H9" s="42" t="n">
        <x:v>46285</x:v>
      </x:c>
      <x:c r="I9" s="44" t="n">
        <x:v>140000</x:v>
      </x:c>
      <x:c r="J9" s="46" t="n">
        <x:v>40</x:v>
      </x:c>
      <x:c r="K9" s="46" t="n">
        <x:v>85</x:v>
      </x:c>
      <x:c r="L9" s="38" t="str">
        <x:v>In Progress</x:v>
      </x:c>
      <x:c r="M9" s="38" t="str">
        <x:v>Technical implementation</x:v>
      </x:c>
      <x:c r="N9" s="38" t="str">
        <x:v>Configuration evidence, test result, and owner approval</x:v>
      </x:c>
      <x:c r="O9" s="42" t="n">
        <x:v>46245</x:v>
      </x:c>
    </x:row>
    <x:row r="10">
      <x:c r="A10" s="38" t="str">
        <x:v>TRT-APP-006</x:v>
      </x:c>
      <x:c r="B10" s="38" t="str">
        <x:v>RISK-APP-006</x:v>
      </x:c>
      <x:c r="C10" s="38" t="str">
        <x:v>Mitigate</x:v>
      </x:c>
      <x:c r="D10" s="38" t="str">
        <x:v>Application control</x:v>
      </x:c>
      <x:c r="E10" s="38" t="str">
        <x:v>Faisal</x:v>
      </x:c>
      <x:c r="F10" s="38" t="str">
        <x:v>Critical</x:v>
      </x:c>
      <x:c r="G10" s="42" t="n">
        <x:v>46241</x:v>
      </x:c>
      <x:c r="H10" s="42" t="n">
        <x:v>46301</x:v>
      </x:c>
      <x:c r="I10" s="44" t="n">
        <x:v>158000</x:v>
      </x:c>
      <x:c r="J10" s="46" t="n">
        <x:v>43</x:v>
      </x:c>
      <x:c r="K10" s="46" t="n">
        <x:v>10</x:v>
      </x:c>
      <x:c r="L10" s="38" t="str">
        <x:v>In Progress</x:v>
      </x:c>
      <x:c r="M10" s="38" t="str">
        <x:v>Budget and technical change approval</x:v>
      </x:c>
      <x:c r="N10" s="38" t="str">
        <x:v>Configuration evidence, test result, and owner approval</x:v>
      </x:c>
      <x:c r="O10" s="42" t="n">
        <x:v>46247</x:v>
      </x:c>
    </x:row>
    <x:row r="11">
      <x:c r="A11" s="38" t="str">
        <x:v>TRT-APP-007</x:v>
      </x:c>
      <x:c r="B11" s="38" t="str">
        <x:v>RISK-APP-007</x:v>
      </x:c>
      <x:c r="C11" s="38" t="str">
        <x:v>Mitigate</x:v>
      </x:c>
      <x:c r="D11" s="38" t="str">
        <x:v>Automated restore sampling</x:v>
      </x:c>
      <x:c r="E11" s="38" t="str">
        <x:v>Nadia</x:v>
      </x:c>
      <x:c r="F11" s="38" t="str">
        <x:v>Critical</x:v>
      </x:c>
      <x:c r="G11" s="42" t="n">
        <x:v>46242</x:v>
      </x:c>
      <x:c r="H11" s="42" t="n">
        <x:v>46317</x:v>
      </x:c>
      <x:c r="I11" s="44" t="n">
        <x:v>176000</x:v>
      </x:c>
      <x:c r="J11" s="46" t="n">
        <x:v>46</x:v>
      </x:c>
      <x:c r="K11" s="46" t="n">
        <x:v>25</x:v>
      </x:c>
      <x:c r="L11" s="38" t="str">
        <x:v>In Progress</x:v>
      </x:c>
      <x:c r="M11" s="38" t="str">
        <x:v>Technical implementation</x:v>
      </x:c>
      <x:c r="N11" s="38" t="str">
        <x:v>Configuration evidence, test result, and owner approval</x:v>
      </x:c>
      <x:c r="O11" s="42" t="n">
        <x:v>46249</x:v>
      </x:c>
    </x:row>
    <x:row r="12">
      <x:c r="A12" s="38" t="str">
        <x:v>TRT-APP-008</x:v>
      </x:c>
      <x:c r="B12" s="38" t="str">
        <x:v>RISK-APP-008</x:v>
      </x:c>
      <x:c r="C12" s="38" t="str">
        <x:v>Mitigate</x:v>
      </x:c>
      <x:c r="D12" s="38" t="str">
        <x:v>Quarterly validation</x:v>
      </x:c>
      <x:c r="E12" s="38" t="str">
        <x:v>Saud</x:v>
      </x:c>
      <x:c r="F12" s="38" t="str">
        <x:v>Critical</x:v>
      </x:c>
      <x:c r="G12" s="42" t="n">
        <x:v>46243</x:v>
      </x:c>
      <x:c r="H12" s="42" t="n">
        <x:v>46273</x:v>
      </x:c>
      <x:c r="I12" s="44" t="n">
        <x:v>194000</x:v>
      </x:c>
      <x:c r="J12" s="46" t="n">
        <x:v>49</x:v>
      </x:c>
      <x:c r="K12" s="46" t="n">
        <x:v>40</x:v>
      </x:c>
      <x:c r="L12" s="38" t="str">
        <x:v>In Progress</x:v>
      </x:c>
      <x:c r="M12" s="38" t="str">
        <x:v>Technical implementation</x:v>
      </x:c>
      <x:c r="N12" s="38" t="str">
        <x:v>Configuration evidence, test result, and owner approval</x:v>
      </x:c>
      <x:c r="O12" s="42" t="n">
        <x:v>46251</x:v>
      </x:c>
    </x:row>
    <x:row r="13">
      <x:c r="A13" s="38" t="str">
        <x:v>TRT-APP-009</x:v>
      </x:c>
      <x:c r="B13" s="38" t="str">
        <x:v>RISK-APP-009</x:v>
      </x:c>
      <x:c r="C13" s="38" t="str">
        <x:v>Mitigate</x:v>
      </x:c>
      <x:c r="D13" s="38" t="str">
        <x:v>Telemetry schema review</x:v>
      </x:c>
      <x:c r="E13" s="38" t="str">
        <x:v>Lama</x:v>
      </x:c>
      <x:c r="F13" s="38" t="str">
        <x:v>High</x:v>
      </x:c>
      <x:c r="G13" s="42" t="n">
        <x:v>46244</x:v>
      </x:c>
      <x:c r="H13" s="42" t="n">
        <x:v>46289</x:v>
      </x:c>
      <x:c r="I13" s="44" t="n">
        <x:v>212000</x:v>
      </x:c>
      <x:c r="J13" s="46" t="n">
        <x:v>52</x:v>
      </x:c>
      <x:c r="K13" s="46" t="n">
        <x:v>55</x:v>
      </x:c>
      <x:c r="L13" s="38" t="str">
        <x:v>In Progress</x:v>
      </x:c>
      <x:c r="M13" s="38" t="str">
        <x:v>Budget and technical change approval</x:v>
      </x:c>
      <x:c r="N13" s="38" t="str">
        <x:v>Configuration evidence, test result, and owner approval</x:v>
      </x:c>
      <x:c r="O13" s="42" t="n">
        <x:v>46253</x:v>
      </x:c>
    </x:row>
    <x:row r="14">
      <x:c r="A14" s="38" t="str">
        <x:v>TRT-APP-010</x:v>
      </x:c>
      <x:c r="B14" s="38" t="str">
        <x:v>RISK-APP-010</x:v>
      </x:c>
      <x:c r="C14" s="38" t="str">
        <x:v>Mitigate</x:v>
      </x:c>
      <x:c r="D14" s="38" t="str">
        <x:v>SBOM</x:v>
      </x:c>
      <x:c r="E14" s="38" t="str">
        <x:v>Kareem</x:v>
      </x:c>
      <x:c r="F14" s="38" t="str">
        <x:v>Critical</x:v>
      </x:c>
      <x:c r="G14" s="42" t="n">
        <x:v>46245</x:v>
      </x:c>
      <x:c r="H14" s="42" t="n">
        <x:v>46305</x:v>
      </x:c>
      <x:c r="I14" s="44" t="n">
        <x:v>230000</x:v>
      </x:c>
      <x:c r="J14" s="46" t="n">
        <x:v>55</x:v>
      </x:c>
      <x:c r="K14" s="46" t="n">
        <x:v>70</x:v>
      </x:c>
      <x:c r="L14" s="38" t="str">
        <x:v>In Progress</x:v>
      </x:c>
      <x:c r="M14" s="38" t="str">
        <x:v>Technical implementation</x:v>
      </x:c>
      <x:c r="N14" s="38" t="str">
        <x:v>Configuration evidence, test result, and owner approval</x:v>
      </x:c>
      <x:c r="O14" s="42" t="n">
        <x:v>46255</x:v>
      </x:c>
    </x:row>
    <x:row r="15">
      <x:c r="A15" s="38" t="str">
        <x:v>TRT-APP-011</x:v>
      </x:c>
      <x:c r="B15" s="38" t="str">
        <x:v>RISK-APP-011</x:v>
      </x:c>
      <x:c r="C15" s="38" t="str">
        <x:v>Mitigate</x:v>
      </x:c>
      <x:c r="D15" s="38" t="str">
        <x:v>Role rules</x:v>
      </x:c>
      <x:c r="E15" s="38" t="str">
        <x:v>Aseel</x:v>
      </x:c>
      <x:c r="F15" s="38" t="str">
        <x:v>High</x:v>
      </x:c>
      <x:c r="G15" s="42" t="n">
        <x:v>46246</x:v>
      </x:c>
      <x:c r="H15" s="42" t="n">
        <x:v>46321</x:v>
      </x:c>
      <x:c r="I15" s="44" t="n">
        <x:v>248000</x:v>
      </x:c>
      <x:c r="J15" s="46" t="n">
        <x:v>58</x:v>
      </x:c>
      <x:c r="K15" s="46" t="n">
        <x:v>85</x:v>
      </x:c>
      <x:c r="L15" s="38" t="str">
        <x:v>In Progress</x:v>
      </x:c>
      <x:c r="M15" s="38" t="str">
        <x:v>Technical implementation</x:v>
      </x:c>
      <x:c r="N15" s="38" t="str">
        <x:v>Configuration evidence, test result, and owner approval</x:v>
      </x:c>
      <x:c r="O15" s="42" t="n">
        <x:v>46257</x:v>
      </x:c>
    </x:row>
    <x:row r="16">
      <x:c r="A16" s="38" t="str">
        <x:v>TRT-APP-012</x:v>
      </x:c>
      <x:c r="B16" s="38" t="str">
        <x:v>RISK-APP-012</x:v>
      </x:c>
      <x:c r="C16" s="38" t="str">
        <x:v>Mitigate</x:v>
      </x:c>
      <x:c r="D16" s="38" t="str">
        <x:v>Central exception register</x:v>
      </x:c>
      <x:c r="E16" s="38" t="str">
        <x:v>Walid</x:v>
      </x:c>
      <x:c r="F16" s="38" t="str">
        <x:v>High</x:v>
      </x:c>
      <x:c r="G16" s="42" t="n">
        <x:v>46247</x:v>
      </x:c>
      <x:c r="H16" s="42" t="n">
        <x:v>46277</x:v>
      </x:c>
      <x:c r="I16" s="44" t="n">
        <x:v>266000</x:v>
      </x:c>
      <x:c r="J16" s="46" t="n">
        <x:v>61</x:v>
      </x:c>
      <x:c r="K16" s="46" t="n">
        <x:v>10</x:v>
      </x:c>
      <x:c r="L16" s="38" t="str">
        <x:v>In Progress</x:v>
      </x:c>
      <x:c r="M16" s="38" t="str">
        <x:v>Budget and technical change approval</x:v>
      </x:c>
      <x:c r="N16" s="38" t="str">
        <x:v>Configuration evidence, test result, and owner approval</x:v>
      </x:c>
      <x:c r="O16" s="42" t="n">
        <x:v>46259</x:v>
      </x:c>
    </x:row>
  </x:sheetData>
  <x:mergeCells>
    <x:mergeCell ref="A1:O1"/>
    <x:mergeCell ref="A2:O2"/>
  </x:mergeCells>
  <x:conditionalFormatting sqref="A5:O16">
    <x:cfRule type="expression" dxfId="13" priority="1">
      <x:formula>MOD(ROW(),2)=0</x:formula>
    </x:cfRule>
  </x:conditionalFormatting>
  <x:conditionalFormatting sqref="K5:K16">
    <x:cfRule type="dataBar" priority="2">
      <x:dataBar>
        <x:cfvo type="min"/>
        <x:cfvo type="max"/>
        <x:color rgb="FF0E7490"/>
      </x:dataBar>
      <x:extLst>
        <x:ext xmlns:x14="http://schemas.microsoft.com/office/spreadsheetml/2009/9/main" uri="{B025F937-C7B1-47D3-B67F-A62EFF666E3E}">
          <x14:id>{4CA7C1A4-F480-DC05-875E-077E5F9C2DB6}</x14:id>
        </x:ext>
      </x:extLst>
    </x:cfRule>
  </x:conditionalFormatting>
  <x:pageMargins left="0.7" right="0.7" top="0.75" bottom="0.75" header="0.3" footer="0.3"/>
  <x:tableParts count="1">
    <x:tablePart xmlns:r="http://schemas.openxmlformats.org/officeDocument/2006/relationships" r:id="R8e478d74fa234778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2" id="{4CA7C1A4-F480-DC05-875E-077E5F9C2DB6}">
            <x14:dataBar gradient="1">
              <x14:cfvo type="min"/>
              <x14:cfvo type="max"/>
              <x14:fillColor rgb="FF0E7490"/>
            </x14:dataBar>
          </x14:cfRule>
          <xm:sqref>K5:K16</xm:sqref>
        </x14:conditionalFormatting>
      </x14:conditionalFormattings>
    </x:ext>
  </x:extLst>
</x:worksheet>
</file>

<file path=xl/worksheets/sheet8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37" hidden="0" customWidth="1"/>
    <x:col min="3" max="3" width="22" hidden="0" customWidth="1"/>
    <x:col min="4" max="4" width="24" hidden="0" customWidth="1"/>
    <x:col min="5" max="5" width="24" hidden="0" customWidth="1"/>
    <x:col min="6" max="6" width="45" hidden="0" customWidth="1"/>
    <x:col min="7" max="7" width="17" hidden="0" customWidth="1"/>
    <x:col min="8" max="8" width="23" hidden="0" customWidth="1"/>
    <x:col min="9" max="9" width="22" hidden="0" customWidth="1"/>
    <x:col min="10" max="10" width="17" hidden="0" customWidth="1"/>
    <x:col min="11" max="11" width="15" hidden="0" customWidth="1"/>
    <x:col min="12" max="12" width="15" hidden="0" customWidth="1"/>
    <x:col min="13" max="13" width="21" hidden="0" customWidth="1"/>
    <x:col min="14" max="14" width="22" hidden="0" customWidth="1"/>
  </x:cols>
  <x:sheetData>
    <x:row r="1" ht="34" customHeight="1">
      <x:c r="A1" s="5" t="str">
        <x:v>Apple Control Register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</x:row>
    <x:row r="2" ht="28" customHeight="1">
      <x:c r="A2" s="13" t="str">
        <x:v>Synthetic controls, framework mapping, implementation, effectiveness, test cadence, evidence, and linked risks.</x:v>
      </x:c>
      <x:c r="B2" s="13"/>
      <x:c r="C2" s="13"/>
      <x:c r="D2" s="13"/>
      <x:c r="E2" s="13"/>
      <x:c r="F2" s="13"/>
      <x:c r="G2" s="13"/>
      <x:c r="H2" s="13"/>
      <x:c r="I2" s="13"/>
      <x:c r="J2" s="13"/>
      <x:c r="K2" s="13"/>
      <x:c r="L2" s="13"/>
      <x:c r="M2" s="13"/>
      <x:c r="N2" s="13"/>
    </x:row>
    <x:row r="4" ht="32" customHeight="1">
      <x:c r="A4" s="30" t="str">
        <x:v>Control ID</x:v>
      </x:c>
      <x:c r="B4" s="30" t="str">
        <x:v>Control Name</x:v>
      </x:c>
      <x:c r="C4" s="30" t="str">
        <x:v>Control Domain</x:v>
      </x:c>
      <x:c r="D4" s="30" t="str">
        <x:v>Applicable Framework</x:v>
      </x:c>
      <x:c r="E4" s="30" t="str">
        <x:v>Framework Control ID</x:v>
      </x:c>
      <x:c r="F4" s="30" t="str">
        <x:v>Control Objective</x:v>
      </x:c>
      <x:c r="G4" s="30" t="str">
        <x:v>Control Owner</x:v>
      </x:c>
      <x:c r="H4" s="30" t="str">
        <x:v>Implementation Status</x:v>
      </x:c>
      <x:c r="I4" s="30" t="str">
        <x:v>Control Effectiveness (%)</x:v>
      </x:c>
      <x:c r="J4" s="30" t="str">
        <x:v>Testing Frequency</x:v>
      </x:c>
      <x:c r="K4" s="30" t="str">
        <x:v>Last Test Date</x:v>
      </x:c>
      <x:c r="L4" s="30" t="str">
        <x:v>Next Test Date</x:v>
      </x:c>
      <x:c r="M4" s="30" t="str">
        <x:v>Evidence ID</x:v>
      </x:c>
      <x:c r="N4" s="30" t="str">
        <x:v>Related Risk IDs</x:v>
      </x:c>
    </x:row>
    <x:row r="5">
      <x:c r="A5" s="38" t="str">
        <x:v>CTRL-APP-001</x:v>
      </x:c>
      <x:c r="B5" s="38" t="str">
        <x:v>Hardware-Backed Keys</x:v>
      </x:c>
      <x:c r="C5" s="38" t="str">
        <x:v>Cryptography</x:v>
      </x:c>
      <x:c r="D5" s="38" t="str">
        <x:v>ISO 27001</x:v>
      </x:c>
      <x:c r="E5" s="38" t="str">
        <x:v>A.8.24</x:v>
      </x:c>
      <x:c r="F5" s="38" t="str">
        <x:v>Reduce exposure to code-signing key misuse.</x:v>
      </x:c>
      <x:c r="G5" s="38" t="str">
        <x:v>Rasha</x:v>
      </x:c>
      <x:c r="H5" s="38" t="str">
        <x:v>Partially Implemented</x:v>
      </x:c>
      <x:c r="I5" s="46" t="n">
        <x:v>72</x:v>
      </x:c>
      <x:c r="J5" s="38" t="str">
        <x:v>Quarterly</x:v>
      </x:c>
      <x:c r="K5" s="42" t="n">
        <x:v>46226</x:v>
      </x:c>
      <x:c r="L5" s="42" t="n">
        <x:v>46301</x:v>
      </x:c>
      <x:c r="M5" s="38" t="str">
        <x:v>CTRL-EVD-APP-001</x:v>
      </x:c>
      <x:c r="N5" s="38" t="str">
        <x:v>RISK-APP-001</x:v>
      </x:c>
    </x:row>
    <x:row r="6">
      <x:c r="A6" s="38" t="str">
        <x:v>CTRL-APP-002</x:v>
      </x:c>
      <x:c r="B6" s="38" t="str">
        <x:v>Segregated Review</x:v>
      </x:c>
      <x:c r="C6" s="38" t="str">
        <x:v>Application Security</x:v>
      </x:c>
      <x:c r="D6" s="38" t="str">
        <x:v>NCA ECC / ISO 27001</x:v>
      </x:c>
      <x:c r="E6" s="38" t="str">
        <x:v>APP-06 / A.8.26</x:v>
      </x:c>
      <x:c r="F6" s="38" t="str">
        <x:v>Reduce exposure to fraudulent application approval.</x:v>
      </x:c>
      <x:c r="G6" s="38" t="str">
        <x:v>Adel</x:v>
      </x:c>
      <x:c r="H6" s="38" t="str">
        <x:v>Planned</x:v>
      </x:c>
      <x:c r="I6" s="46" t="n">
        <x:v>84</x:v>
      </x:c>
      <x:c r="J6" s="38" t="str">
        <x:v>Semiannual</x:v>
      </x:c>
      <x:c r="K6" s="42" t="n">
        <x:v>46217</x:v>
      </x:c>
      <x:c r="L6" s="42" t="n">
        <x:v>46307</x:v>
      </x:c>
      <x:c r="M6" s="38" t="str">
        <x:v>CTRL-EVD-APP-002</x:v>
      </x:c>
      <x:c r="N6" s="38" t="str">
        <x:v>RISK-APP-002</x:v>
      </x:c>
    </x:row>
    <x:row r="7">
      <x:c r="A7" s="38" t="str">
        <x:v>CTRL-APP-003</x:v>
      </x:c>
      <x:c r="B7" s="38" t="str">
        <x:v>Risk-Based Verification</x:v>
      </x:c>
      <x:c r="C7" s="38" t="str">
        <x:v>Payment Security</x:v>
      </x:c>
      <x:c r="D7" s="38" t="str">
        <x:v>PCI DSS</x:v>
      </x:c>
      <x:c r="E7" s="38" t="str">
        <x:v>PCI-8.4</x:v>
      </x:c>
      <x:c r="F7" s="38" t="str">
        <x:v>Reduce exposure to wallet token provisioning fraud.</x:v>
      </x:c>
      <x:c r="G7" s="38" t="str">
        <x:v>Yousef</x:v>
      </x:c>
      <x:c r="H7" s="38" t="str">
        <x:v>Implemented</x:v>
      </x:c>
      <x:c r="I7" s="46" t="n">
        <x:v>91</x:v>
      </x:c>
      <x:c r="J7" s="38" t="str">
        <x:v>Annual</x:v>
      </x:c>
      <x:c r="K7" s="42" t="n">
        <x:v>46208</x:v>
      </x:c>
      <x:c r="L7" s="42" t="n">
        <x:v>46313</x:v>
      </x:c>
      <x:c r="M7" s="38" t="str">
        <x:v>CTRL-EVD-APP-003</x:v>
      </x:c>
      <x:c r="N7" s="38" t="str">
        <x:v>RISK-APP-003</x:v>
      </x:c>
    </x:row>
    <x:row r="8">
      <x:c r="A8" s="38" t="str">
        <x:v>CTRL-APP-004</x:v>
      </x:c>
      <x:c r="B8" s="38" t="str">
        <x:v>Anycast Protection</x:v>
      </x:c>
      <x:c r="C8" s="38" t="str">
        <x:v>Availability</x:v>
      </x:c>
      <x:c r="D8" s="38" t="str">
        <x:v>ISO 22301</x:v>
      </x:c>
      <x:c r="E8" s="38" t="str">
        <x:v>BCM-06</x:v>
      </x:c>
      <x:c r="F8" s="38" t="str">
        <x:v>Reduce exposure to activation service denial of service.</x:v>
      </x:c>
      <x:c r="G8" s="38" t="str">
        <x:v>Mona</x:v>
      </x:c>
      <x:c r="H8" s="38" t="str">
        <x:v>Implemented</x:v>
      </x:c>
      <x:c r="I8" s="46" t="n">
        <x:v>58</x:v>
      </x:c>
      <x:c r="J8" s="38" t="str">
        <x:v>Monthly</x:v>
      </x:c>
      <x:c r="K8" s="42" t="n">
        <x:v>46199</x:v>
      </x:c>
      <x:c r="L8" s="42" t="n">
        <x:v>46319</x:v>
      </x:c>
      <x:c r="M8" s="38" t="str">
        <x:v>CTRL-EVD-APP-004</x:v>
      </x:c>
      <x:c r="N8" s="38" t="str">
        <x:v>RISK-APP-004</x:v>
      </x:c>
    </x:row>
    <x:row r="9">
      <x:c r="A9" s="38" t="str">
        <x:v>CTRL-APP-005</x:v>
      </x:c>
      <x:c r="B9" s="38" t="str">
        <x:v>Multi-Factor Verification</x:v>
      </x:c>
      <x:c r="C9" s="38" t="str">
        <x:v>Privacy</x:v>
      </x:c>
      <x:c r="D9" s="38" t="str">
        <x:v>PDPL</x:v>
      </x:c>
      <x:c r="E9" s="38" t="str">
        <x:v>PRV-07</x:v>
      </x:c>
      <x:c r="F9" s="38" t="str">
        <x:v>Reduce exposure to privacy request identity mismatch.</x:v>
      </x:c>
      <x:c r="G9" s="38" t="str">
        <x:v>Hanan</x:v>
      </x:c>
      <x:c r="H9" s="38" t="str">
        <x:v>Partially Implemented</x:v>
      </x:c>
      <x:c r="I9" s="46" t="n">
        <x:v>72</x:v>
      </x:c>
      <x:c r="J9" s="38" t="str">
        <x:v>Quarterly</x:v>
      </x:c>
      <x:c r="K9" s="42" t="n">
        <x:v>46190</x:v>
      </x:c>
      <x:c r="L9" s="42" t="n">
        <x:v>46325</x:v>
      </x:c>
      <x:c r="M9" s="38" t="str">
        <x:v>CTRL-EVD-APP-005</x:v>
      </x:c>
      <x:c r="N9" s="38" t="str">
        <x:v>RISK-APP-005</x:v>
      </x:c>
    </x:row>
    <x:row r="10">
      <x:c r="A10" s="38" t="str">
        <x:v>CTRL-APP-006</x:v>
      </x:c>
      <x:c r="B10" s="38" t="str">
        <x:v>Application Control</x:v>
      </x:c>
      <x:c r="C10" s="38" t="str">
        <x:v>Endpoint Security</x:v>
      </x:c>
      <x:c r="D10" s="38" t="str">
        <x:v>PCI DSS / NCA ECC</x:v>
      </x:c>
      <x:c r="E10" s="38" t="str">
        <x:v>PCI-5 / END-03</x:v>
      </x:c>
      <x:c r="F10" s="38" t="str">
        <x:v>Reduce exposure to retail pos malware infection.</x:v>
      </x:c>
      <x:c r="G10" s="38" t="str">
        <x:v>Faisal</x:v>
      </x:c>
      <x:c r="H10" s="38" t="str">
        <x:v>Planned</x:v>
      </x:c>
      <x:c r="I10" s="46" t="n">
        <x:v>84</x:v>
      </x:c>
      <x:c r="J10" s="38" t="str">
        <x:v>Semiannual</x:v>
      </x:c>
      <x:c r="K10" s="42" t="n">
        <x:v>46181</x:v>
      </x:c>
      <x:c r="L10" s="42" t="n">
        <x:v>46331</x:v>
      </x:c>
      <x:c r="M10" s="38" t="str">
        <x:v>CTRL-EVD-APP-006</x:v>
      </x:c>
      <x:c r="N10" s="38" t="str">
        <x:v>RISK-APP-006</x:v>
      </x:c>
    </x:row>
    <x:row r="11">
      <x:c r="A11" s="38" t="str">
        <x:v>CTRL-APP-007</x:v>
      </x:c>
      <x:c r="B11" s="38" t="str">
        <x:v>Automated Restore Sampling</x:v>
      </x:c>
      <x:c r="C11" s="38" t="str">
        <x:v>Disaster Recovery</x:v>
      </x:c>
      <x:c r="D11" s="38" t="str">
        <x:v>ISO 22301</x:v>
      </x:c>
      <x:c r="E11" s="38" t="str">
        <x:v>DR-05</x:v>
      </x:c>
      <x:c r="F11" s="38" t="str">
        <x:v>Reduce exposure to cloud backup recovery gap.</x:v>
      </x:c>
      <x:c r="G11" s="38" t="str">
        <x:v>Nadia</x:v>
      </x:c>
      <x:c r="H11" s="38" t="str">
        <x:v>Implemented</x:v>
      </x:c>
      <x:c r="I11" s="46" t="n">
        <x:v>91</x:v>
      </x:c>
      <x:c r="J11" s="38" t="str">
        <x:v>Annual</x:v>
      </x:c>
      <x:c r="K11" s="42" t="n">
        <x:v>46172</x:v>
      </x:c>
      <x:c r="L11" s="42" t="n">
        <x:v>46337</x:v>
      </x:c>
      <x:c r="M11" s="38" t="str">
        <x:v>CTRL-EVD-APP-007</x:v>
      </x:c>
      <x:c r="N11" s="38" t="str">
        <x:v>RISK-APP-007</x:v>
      </x:c>
    </x:row>
    <x:row r="12">
      <x:c r="A12" s="38" t="str">
        <x:v>CTRL-APP-008</x:v>
      </x:c>
      <x:c r="B12" s="38" t="str">
        <x:v>Quarterly Validation</x:v>
      </x:c>
      <x:c r="C12" s="38" t="str">
        <x:v>Business Continuity</x:v>
      </x:c>
      <x:c r="D12" s="38" t="str">
        <x:v>ISO 22301</x:v>
      </x:c>
      <x:c r="E12" s="38" t="str">
        <x:v>BCM-08</x:v>
      </x:c>
      <x:c r="F12" s="38" t="str">
        <x:v>Reduce exposure to emergency vault access failure.</x:v>
      </x:c>
      <x:c r="G12" s="38" t="str">
        <x:v>Saud</x:v>
      </x:c>
      <x:c r="H12" s="38" t="str">
        <x:v>Implemented</x:v>
      </x:c>
      <x:c r="I12" s="46" t="n">
        <x:v>58</x:v>
      </x:c>
      <x:c r="J12" s="38" t="str">
        <x:v>Monthly</x:v>
      </x:c>
      <x:c r="K12" s="42" t="n">
        <x:v>46163</x:v>
      </x:c>
      <x:c r="L12" s="42" t="n">
        <x:v>46343</x:v>
      </x:c>
      <x:c r="M12" s="38" t="str">
        <x:v>CTRL-EVD-APP-008</x:v>
      </x:c>
      <x:c r="N12" s="38" t="str">
        <x:v>RISK-APP-008</x:v>
      </x:c>
    </x:row>
    <x:row r="13">
      <x:c r="A13" s="38" t="str">
        <x:v>CTRL-APP-009</x:v>
      </x:c>
      <x:c r="B13" s="38" t="str">
        <x:v>Telemetry Schema Review</x:v>
      </x:c>
      <x:c r="C13" s="38" t="str">
        <x:v>Data Protection</x:v>
      </x:c>
      <x:c r="D13" s="38" t="str">
        <x:v>PDPL</x:v>
      </x:c>
      <x:c r="E13" s="38" t="str">
        <x:v>DP-06</x:v>
      </x:c>
      <x:c r="F13" s="38" t="str">
        <x:v>Reduce exposure to application telemetry privacy leakage.</x:v>
      </x:c>
      <x:c r="G13" s="38" t="str">
        <x:v>Lama</x:v>
      </x:c>
      <x:c r="H13" s="38" t="str">
        <x:v>Partially Implemented</x:v>
      </x:c>
      <x:c r="I13" s="46" t="n">
        <x:v>72</x:v>
      </x:c>
      <x:c r="J13" s="38" t="str">
        <x:v>Quarterly</x:v>
      </x:c>
      <x:c r="K13" s="42" t="n">
        <x:v>46154</x:v>
      </x:c>
      <x:c r="L13" s="42" t="n">
        <x:v>46349</x:v>
      </x:c>
      <x:c r="M13" s="38" t="str">
        <x:v>CTRL-EVD-APP-009</x:v>
      </x:c>
      <x:c r="N13" s="38" t="str">
        <x:v>RISK-APP-009</x:v>
      </x:c>
    </x:row>
    <x:row r="14">
      <x:c r="A14" s="38" t="str">
        <x:v>CTRL-APP-010</x:v>
      </x:c>
      <x:c r="B14" s="38" t="str">
        <x:v>Sbom</x:v>
      </x:c>
      <x:c r="C14" s="38" t="str">
        <x:v>Third-Party Risk</x:v>
      </x:c>
      <x:c r="D14" s="38" t="str">
        <x:v>ISO 27001</x:v>
      </x:c>
      <x:c r="E14" s="38" t="str">
        <x:v>A.5.21</x:v>
      </x:c>
      <x:c r="F14" s="38" t="str">
        <x:v>Reduce exposure to third-party sdk supply-chain compromise.</x:v>
      </x:c>
      <x:c r="G14" s="38" t="str">
        <x:v>Kareem</x:v>
      </x:c>
      <x:c r="H14" s="38" t="str">
        <x:v>Planned</x:v>
      </x:c>
      <x:c r="I14" s="46" t="n">
        <x:v>84</x:v>
      </x:c>
      <x:c r="J14" s="38" t="str">
        <x:v>Semiannual</x:v>
      </x:c>
      <x:c r="K14" s="42" t="n">
        <x:v>46145</x:v>
      </x:c>
      <x:c r="L14" s="42" t="n">
        <x:v>46355</x:v>
      </x:c>
      <x:c r="M14" s="38" t="str">
        <x:v>CTRL-EVD-APP-010</x:v>
      </x:c>
      <x:c r="N14" s="38" t="str">
        <x:v>RISK-APP-010</x:v>
      </x:c>
    </x:row>
    <x:row r="15">
      <x:c r="A15" s="38" t="str">
        <x:v>CTRL-APP-011</x:v>
      </x:c>
      <x:c r="B15" s="38" t="str">
        <x:v>Role Rules</x:v>
      </x:c>
      <x:c r="C15" s="38" t="str">
        <x:v>Identity Governance</x:v>
      </x:c>
      <x:c r="D15" s="38" t="str">
        <x:v>NCA ECC</x:v>
      </x:c>
      <x:c r="E15" s="38" t="str">
        <x:v>IAM-06</x:v>
      </x:c>
      <x:c r="F15" s="38" t="str">
        <x:v>Reduce exposure to retail identity role conflict.</x:v>
      </x:c>
      <x:c r="G15" s="38" t="str">
        <x:v>Aseel</x:v>
      </x:c>
      <x:c r="H15" s="38" t="str">
        <x:v>Implemented</x:v>
      </x:c>
      <x:c r="I15" s="46" t="n">
        <x:v>91</x:v>
      </x:c>
      <x:c r="J15" s="38" t="str">
        <x:v>Annual</x:v>
      </x:c>
      <x:c r="K15" s="42" t="n">
        <x:v>46136</x:v>
      </x:c>
      <x:c r="L15" s="42" t="n">
        <x:v>46361</x:v>
      </x:c>
      <x:c r="M15" s="38" t="str">
        <x:v>CTRL-EVD-APP-011</x:v>
      </x:c>
      <x:c r="N15" s="38" t="str">
        <x:v>RISK-APP-011</x:v>
      </x:c>
    </x:row>
    <x:row r="16">
      <x:c r="A16" s="38" t="str">
        <x:v>CTRL-APP-012</x:v>
      </x:c>
      <x:c r="B16" s="38" t="str">
        <x:v>Central Exception Register</x:v>
      </x:c>
      <x:c r="C16" s="38" t="str">
        <x:v>Governance</x:v>
      </x:c>
      <x:c r="D16" s="38" t="str">
        <x:v>NCA ECC</x:v>
      </x:c>
      <x:c r="E16" s="38" t="str">
        <x:v>GOV-08</x:v>
      </x:c>
      <x:c r="F16" s="38" t="str">
        <x:v>Reduce exposure to service exception accumulation.</x:v>
      </x:c>
      <x:c r="G16" s="38" t="str">
        <x:v>Walid</x:v>
      </x:c>
      <x:c r="H16" s="38" t="str">
        <x:v>Implemented</x:v>
      </x:c>
      <x:c r="I16" s="46" t="n">
        <x:v>58</x:v>
      </x:c>
      <x:c r="J16" s="38" t="str">
        <x:v>Monthly</x:v>
      </x:c>
      <x:c r="K16" s="42" t="n">
        <x:v>46127</x:v>
      </x:c>
      <x:c r="L16" s="42" t="n">
        <x:v>46367</x:v>
      </x:c>
      <x:c r="M16" s="38" t="str">
        <x:v>CTRL-EVD-APP-012</x:v>
      </x:c>
      <x:c r="N16" s="38" t="str">
        <x:v>RISK-APP-012</x:v>
      </x:c>
    </x:row>
  </x:sheetData>
  <x:mergeCells>
    <x:mergeCell ref="A1:N1"/>
    <x:mergeCell ref="A2:N2"/>
  </x:mergeCells>
  <x:conditionalFormatting sqref="A5:N16">
    <x:cfRule type="expression" dxfId="14" priority="1">
      <x:formula>MOD(ROW(),2)=0</x:formula>
    </x:cfRule>
  </x:conditionalFormatting>
  <x:conditionalFormatting sqref="I5:I16">
    <x:cfRule type="dataBar" priority="2">
      <x:dataBar>
        <x:cfvo type="min"/>
        <x:cfvo type="max"/>
        <x:color rgb="FF10B981"/>
      </x:dataBar>
      <x:extLst>
        <x:ext xmlns:x14="http://schemas.microsoft.com/office/spreadsheetml/2009/9/main" uri="{B025F937-C7B1-47D3-B67F-A62EFF666E3E}">
          <x14:id>{180B3F8E-C82A-0EAE-49EA-03E4B01B4228}</x14:id>
        </x:ext>
      </x:extLst>
    </x:cfRule>
  </x:conditionalFormatting>
  <x:pageMargins left="0.7" right="0.7" top="0.75" bottom="0.75" header="0.3" footer="0.3"/>
  <x:tableParts count="1">
    <x:tablePart xmlns:r="http://schemas.openxmlformats.org/officeDocument/2006/relationships" r:id="R1d744ec66bff4f90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2" id="{180B3F8E-C82A-0EAE-49EA-03E4B01B4228}">
            <x14:dataBar gradient="1">
              <x14:cfvo type="min"/>
              <x14:cfvo type="max"/>
              <x14:fillColor rgb="FF10B981"/>
            </x14:dataBar>
          </x14:cfRule>
          <xm:sqref>I5:I16</xm:sqref>
        </x14:conditionalFormatting>
      </x14:conditionalFormattings>
    </x:ext>
  </x:extLst>
</x:worksheet>
</file>

<file path=xl/worksheets/sheet9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7" hidden="0" customWidth="1"/>
    <x:col min="3" max="3" width="36" hidden="0" customWidth="1"/>
    <x:col min="4" max="4" width="23" hidden="0" customWidth="1"/>
    <x:col min="5" max="5" width="15" hidden="0" customWidth="1"/>
    <x:col min="6" max="6" width="21" hidden="0" customWidth="1"/>
    <x:col min="7" max="7" width="17" hidden="0" customWidth="1"/>
    <x:col min="8" max="8" width="46" hidden="0" customWidth="1"/>
    <x:col min="9" max="9" width="14" hidden="0" customWidth="1"/>
    <x:col min="10" max="10" width="18" hidden="0" customWidth="1"/>
    <x:col min="11" max="11" width="18" hidden="0" customWidth="1"/>
    <x:col min="12" max="12" width="14" hidden="0" customWidth="1"/>
    <x:col min="13" max="13" width="15" hidden="0" customWidth="1"/>
    <x:col min="14" max="14" width="17" hidden="0" customWidth="1"/>
    <x:col min="15" max="15" width="17" hidden="0" customWidth="1"/>
    <x:col min="16" max="16" width="19" hidden="0" customWidth="1"/>
    <x:col min="17" max="17" width="34" hidden="0" customWidth="1"/>
  </x:cols>
  <x:sheetData>
    <x:row r="1" ht="34" customHeight="1">
      <x:c r="A1" s="5" t="str">
        <x:v>Apple Key Risk Indicator Register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  <x:c r="Q1" s="5"/>
    </x:row>
    <x:row r="2" ht="28" customHeight="1">
      <x:c r="A2" s="13" t="str">
        <x:v>Synthetic KRIs linked to risks, thresholds, owners, data sources, evidence, frequency, and current status.</x:v>
      </x:c>
      <x:c r="B2" s="13"/>
      <x:c r="C2" s="13"/>
      <x:c r="D2" s="13"/>
      <x:c r="E2" s="13"/>
      <x:c r="F2" s="13"/>
      <x:c r="G2" s="13"/>
      <x:c r="H2" s="13"/>
      <x:c r="I2" s="13"/>
      <x:c r="J2" s="13"/>
      <x:c r="K2" s="13"/>
      <x:c r="L2" s="13"/>
      <x:c r="M2" s="13"/>
      <x:c r="N2" s="13"/>
      <x:c r="O2" s="13"/>
      <x:c r="P2" s="13"/>
      <x:c r="Q2" s="13"/>
    </x:row>
    <x:row r="4" ht="32" customHeight="1">
      <x:c r="A4" s="30" t="str">
        <x:v>KRI ID</x:v>
      </x:c>
      <x:c r="B4" s="30" t="str">
        <x:v>Risk ID</x:v>
      </x:c>
      <x:c r="C4" s="30" t="str">
        <x:v>KRI Name</x:v>
      </x:c>
      <x:c r="D4" s="30" t="str">
        <x:v>Business Unit</x:v>
      </x:c>
      <x:c r="E4" s="30" t="str">
        <x:v>KRI Owner</x:v>
      </x:c>
      <x:c r="F4" s="30" t="str">
        <x:v>Measurement Frequency</x:v>
      </x:c>
      <x:c r="G4" s="30" t="str">
        <x:v>Measurement Unit</x:v>
      </x:c>
      <x:c r="H4" s="30" t="str">
        <x:v>Measurement Method / Formula</x:v>
      </x:c>
      <x:c r="I4" s="30" t="str">
        <x:v>Target Value</x:v>
      </x:c>
      <x:c r="J4" s="30" t="str">
        <x:v>Warning Threshold</x:v>
      </x:c>
      <x:c r="K4" s="30" t="str">
        <x:v>Critical Threshold</x:v>
      </x:c>
      <x:c r="L4" s="30" t="str">
        <x:v>Current Value</x:v>
      </x:c>
      <x:c r="M4" s="30" t="str">
        <x:v>KRI Status</x:v>
      </x:c>
      <x:c r="N4" s="30" t="str">
        <x:v>Data Source</x:v>
      </x:c>
      <x:c r="O4" s="30" t="str">
        <x:v>Last Measurement Date</x:v>
      </x:c>
      <x:c r="P4" s="30" t="str">
        <x:v>Evidence ID</x:v>
      </x:c>
      <x:c r="Q4" s="30" t="str">
        <x:v>Additional Notes</x:v>
      </x:c>
    </x:row>
    <x:row r="5">
      <x:c r="A5" s="38" t="str">
        <x:v>KRI-APP-001</x:v>
      </x:c>
      <x:c r="B5" s="38" t="str">
        <x:v>RISK-APP-001</x:v>
      </x:c>
      <x:c r="C5" s="38" t="str">
        <x:v>Code-signing key misuse indicator</x:v>
      </x:c>
      <x:c r="D5" s="38" t="str">
        <x:v>Platform Security</x:v>
      </x:c>
      <x:c r="E5" s="38" t="str">
        <x:v>Rasha</x:v>
      </x:c>
      <x:c r="F5" s="38" t="str">
        <x:v>Weekly</x:v>
      </x:c>
      <x:c r="G5" s="38" t="str">
        <x:v>Count</x:v>
      </x:c>
      <x:c r="H5" s="38" t="str">
        <x:v>Measured from approved operational telemetry and governance records.</x:v>
      </x:c>
      <x:c r="I5" s="38" t="n">
        <x:v>0</x:v>
      </x:c>
      <x:c r="J5" s="38" t="n">
        <x:v>2</x:v>
      </x:c>
      <x:c r="K5" s="38" t="n">
        <x:v>5</x:v>
      </x:c>
      <x:c r="L5" s="38" t="n">
        <x:v>1</x:v>
      </x:c>
      <x:c r="M5" s="38" t="str">
        <x:v>On Target</x:v>
      </x:c>
      <x:c r="N5" s="38" t="str">
        <x:v>SIEM</x:v>
      </x:c>
      <x:c r="O5" s="42" t="n">
        <x:v>46236</x:v>
      </x:c>
      <x:c r="P5" s="38" t="str">
        <x:v>KRI-EVD-001</x:v>
      </x:c>
      <x:c r="Q5" s="38" t="str">
        <x:v>Synthetic threshold values for testing.</x:v>
      </x:c>
    </x:row>
    <x:row r="6">
      <x:c r="A6" s="38" t="str">
        <x:v>KRI-APP-002</x:v>
      </x:c>
      <x:c r="B6" s="38" t="str">
        <x:v>RISK-APP-002</x:v>
      </x:c>
      <x:c r="C6" s="38" t="str">
        <x:v>Fraudulent application approval indicator</x:v>
      </x:c>
      <x:c r="D6" s="38" t="str">
        <x:v>App Governance</x:v>
      </x:c>
      <x:c r="E6" s="38" t="str">
        <x:v>Adel</x:v>
      </x:c>
      <x:c r="F6" s="38" t="str">
        <x:v>Monthly</x:v>
      </x:c>
      <x:c r="G6" s="38" t="str">
        <x:v>Count</x:v>
      </x:c>
      <x:c r="H6" s="38" t="str">
        <x:v>Measured from approved operational telemetry and governance records.</x:v>
      </x:c>
      <x:c r="I6" s="38" t="n">
        <x:v>0</x:v>
      </x:c>
      <x:c r="J6" s="38" t="n">
        <x:v>2</x:v>
      </x:c>
      <x:c r="K6" s="38" t="n">
        <x:v>5</x:v>
      </x:c>
      <x:c r="L6" s="38" t="n">
        <x:v>3</x:v>
      </x:c>
      <x:c r="M6" s="38" t="str">
        <x:v>Warning</x:v>
      </x:c>
      <x:c r="N6" s="38" t="str">
        <x:v>Manual Entry</x:v>
      </x:c>
      <x:c r="O6" s="42" t="n">
        <x:v>46237</x:v>
      </x:c>
      <x:c r="P6" s="38" t="str">
        <x:v>KRI-EVD-002</x:v>
      </x:c>
      <x:c r="Q6" s="38" t="str">
        <x:v>Synthetic threshold values for testing.</x:v>
      </x:c>
    </x:row>
    <x:row r="7">
      <x:c r="A7" s="38" t="str">
        <x:v>KRI-APP-003</x:v>
      </x:c>
      <x:c r="B7" s="38" t="str">
        <x:v>RISK-APP-003</x:v>
      </x:c>
      <x:c r="C7" s="38" t="str">
        <x:v>Wallet token provisioning fraud indicator</x:v>
      </x:c>
      <x:c r="D7" s="38" t="str">
        <x:v>Payments</x:v>
      </x:c>
      <x:c r="E7" s="38" t="str">
        <x:v>Yousef</x:v>
      </x:c>
      <x:c r="F7" s="38" t="str">
        <x:v>Quarterly</x:v>
      </x:c>
      <x:c r="G7" s="38" t="str">
        <x:v>%</x:v>
      </x:c>
      <x:c r="H7" s="38" t="str">
        <x:v>Measured from approved operational telemetry and governance records.</x:v>
      </x:c>
      <x:c r="I7" s="38" t="n">
        <x:v>95</x:v>
      </x:c>
      <x:c r="J7" s="38" t="n">
        <x:v>90</x:v>
      </x:c>
      <x:c r="K7" s="38" t="n">
        <x:v>80</x:v>
      </x:c>
      <x:c r="L7" s="38" t="n">
        <x:v>89</x:v>
      </x:c>
      <x:c r="M7" s="38" t="str">
        <x:v>Warning</x:v>
      </x:c>
      <x:c r="N7" s="38" t="str">
        <x:v>Excel Import</x:v>
      </x:c>
      <x:c r="O7" s="42" t="n">
        <x:v>46238</x:v>
      </x:c>
      <x:c r="P7" s="38" t="str">
        <x:v>KRI-EVD-003</x:v>
      </x:c>
      <x:c r="Q7" s="38" t="str">
        <x:v>Synthetic threshold values for testing.</x:v>
      </x:c>
    </x:row>
    <x:row r="8">
      <x:c r="A8" s="38" t="str">
        <x:v>KRI-APP-004</x:v>
      </x:c>
      <x:c r="B8" s="38" t="str">
        <x:v>RISK-APP-004</x:v>
      </x:c>
      <x:c r="C8" s="38" t="str">
        <x:v>Activation service denial of service indicator</x:v>
      </x:c>
      <x:c r="D8" s="38" t="str">
        <x:v>Cloud Services</x:v>
      </x:c>
      <x:c r="E8" s="38" t="str">
        <x:v>Mona</x:v>
      </x:c>
      <x:c r="F8" s="38" t="str">
        <x:v>Daily</x:v>
      </x:c>
      <x:c r="G8" s="38" t="str">
        <x:v>Count</x:v>
      </x:c>
      <x:c r="H8" s="38" t="str">
        <x:v>Measured from approved operational telemetry and governance records.</x:v>
      </x:c>
      <x:c r="I8" s="38" t="n">
        <x:v>0</x:v>
      </x:c>
      <x:c r="J8" s="38" t="n">
        <x:v>2</x:v>
      </x:c>
      <x:c r="K8" s="38" t="n">
        <x:v>5</x:v>
      </x:c>
      <x:c r="L8" s="38" t="n">
        <x:v>0</x:v>
      </x:c>
      <x:c r="M8" s="38" t="str">
        <x:v>On Target</x:v>
      </x:c>
      <x:c r="N8" s="38" t="str">
        <x:v>API</x:v>
      </x:c>
      <x:c r="O8" s="42" t="n">
        <x:v>46239</x:v>
      </x:c>
      <x:c r="P8" s="38" t="str">
        <x:v>KRI-EVD-004</x:v>
      </x:c>
      <x:c r="Q8" s="38" t="str">
        <x:v>Synthetic threshold values for testing.</x:v>
      </x:c>
    </x:row>
    <x:row r="9">
      <x:c r="A9" s="38" t="str">
        <x:v>KRI-APP-005</x:v>
      </x:c>
      <x:c r="B9" s="38" t="str">
        <x:v>RISK-APP-005</x:v>
      </x:c>
      <x:c r="C9" s="38" t="str">
        <x:v>Privacy request identity mismatch indicator</x:v>
      </x:c>
      <x:c r="D9" s="38" t="str">
        <x:v>Privacy</x:v>
      </x:c>
      <x:c r="E9" s="38" t="str">
        <x:v>Hanan</x:v>
      </x:c>
      <x:c r="F9" s="38" t="str">
        <x:v>Weekly</x:v>
      </x:c>
      <x:c r="G9" s="38" t="str">
        <x:v>Count</x:v>
      </x:c>
      <x:c r="H9" s="38" t="str">
        <x:v>Measured from approved operational telemetry and governance records.</x:v>
      </x:c>
      <x:c r="I9" s="38" t="n">
        <x:v>0</x:v>
      </x:c>
      <x:c r="J9" s="38" t="n">
        <x:v>2</x:v>
      </x:c>
      <x:c r="K9" s="38" t="n">
        <x:v>5</x:v>
      </x:c>
      <x:c r="L9" s="38" t="n">
        <x:v>1</x:v>
      </x:c>
      <x:c r="M9" s="38" t="str">
        <x:v>On Target</x:v>
      </x:c>
      <x:c r="N9" s="38" t="str">
        <x:v>SIEM</x:v>
      </x:c>
      <x:c r="O9" s="42" t="n">
        <x:v>46240</x:v>
      </x:c>
      <x:c r="P9" s="38" t="str">
        <x:v>KRI-EVD-005</x:v>
      </x:c>
      <x:c r="Q9" s="38" t="str">
        <x:v>Synthetic threshold values for testing.</x:v>
      </x:c>
    </x:row>
    <x:row r="10">
      <x:c r="A10" s="38" t="str">
        <x:v>KRI-APP-006</x:v>
      </x:c>
      <x:c r="B10" s="38" t="str">
        <x:v>RISK-APP-006</x:v>
      </x:c>
      <x:c r="C10" s="38" t="str">
        <x:v>Retail POS malware infection indicator</x:v>
      </x:c>
      <x:c r="D10" s="38" t="str">
        <x:v>Retail Technology</x:v>
      </x:c>
      <x:c r="E10" s="38" t="str">
        <x:v>Faisal</x:v>
      </x:c>
      <x:c r="F10" s="38" t="str">
        <x:v>Monthly</x:v>
      </x:c>
      <x:c r="G10" s="38" t="str">
        <x:v>%</x:v>
      </x:c>
      <x:c r="H10" s="38" t="str">
        <x:v>Measured from approved operational telemetry and governance records.</x:v>
      </x:c>
      <x:c r="I10" s="38" t="n">
        <x:v>2</x:v>
      </x:c>
      <x:c r="J10" s="38" t="n">
        <x:v>5</x:v>
      </x:c>
      <x:c r="K10" s="38" t="n">
        <x:v>10</x:v>
      </x:c>
      <x:c r="L10" s="38" t="n">
        <x:v>11</x:v>
      </x:c>
      <x:c r="M10" s="38" t="str">
        <x:v>Critical</x:v>
      </x:c>
      <x:c r="N10" s="38" t="str">
        <x:v>Manual Entry</x:v>
      </x:c>
      <x:c r="O10" s="42" t="n">
        <x:v>46241</x:v>
      </x:c>
      <x:c r="P10" s="38" t="str">
        <x:v>KRI-EVD-006</x:v>
      </x:c>
      <x:c r="Q10" s="38" t="str">
        <x:v>Synthetic threshold values for testing.</x:v>
      </x:c>
    </x:row>
    <x:row r="11">
      <x:c r="A11" s="38" t="str">
        <x:v>KRI-APP-007</x:v>
      </x:c>
      <x:c r="B11" s="38" t="str">
        <x:v>RISK-APP-007</x:v>
      </x:c>
      <x:c r="C11" s="38" t="str">
        <x:v>Cloud backup recovery gap indicator</x:v>
      </x:c>
      <x:c r="D11" s="38" t="str">
        <x:v>Cloud Services</x:v>
      </x:c>
      <x:c r="E11" s="38" t="str">
        <x:v>Nadia</x:v>
      </x:c>
      <x:c r="F11" s="38" t="str">
        <x:v>Quarterly</x:v>
      </x:c>
      <x:c r="G11" s="38" t="str">
        <x:v>Count</x:v>
      </x:c>
      <x:c r="H11" s="38" t="str">
        <x:v>Measured from approved operational telemetry and governance records.</x:v>
      </x:c>
      <x:c r="I11" s="38" t="n">
        <x:v>0</x:v>
      </x:c>
      <x:c r="J11" s="38" t="n">
        <x:v>2</x:v>
      </x:c>
      <x:c r="K11" s="38" t="n">
        <x:v>5</x:v>
      </x:c>
      <x:c r="L11" s="38" t="n">
        <x:v>6</x:v>
      </x:c>
      <x:c r="M11" s="38" t="str">
        <x:v>On Target</x:v>
      </x:c>
      <x:c r="N11" s="38" t="str">
        <x:v>Excel Import</x:v>
      </x:c>
      <x:c r="O11" s="42" t="n">
        <x:v>46242</x:v>
      </x:c>
      <x:c r="P11" s="38" t="str">
        <x:v>KRI-EVD-007</x:v>
      </x:c>
      <x:c r="Q11" s="38" t="str">
        <x:v>Synthetic threshold values for testing.</x:v>
      </x:c>
    </x:row>
    <x:row r="12">
      <x:c r="A12" s="38" t="str">
        <x:v>KRI-APP-008</x:v>
      </x:c>
      <x:c r="B12" s="38" t="str">
        <x:v>RISK-APP-008</x:v>
      </x:c>
      <x:c r="C12" s="38" t="str">
        <x:v>Emergency vault access failure indicator</x:v>
      </x:c>
      <x:c r="D12" s="38" t="str">
        <x:v>Business Resilience</x:v>
      </x:c>
      <x:c r="E12" s="38" t="str">
        <x:v>Saud</x:v>
      </x:c>
      <x:c r="F12" s="38" t="str">
        <x:v>Daily</x:v>
      </x:c>
      <x:c r="G12" s="38" t="str">
        <x:v>Count</x:v>
      </x:c>
      <x:c r="H12" s="38" t="str">
        <x:v>Measured from approved operational telemetry and governance records.</x:v>
      </x:c>
      <x:c r="I12" s="38" t="n">
        <x:v>0</x:v>
      </x:c>
      <x:c r="J12" s="38" t="n">
        <x:v>2</x:v>
      </x:c>
      <x:c r="K12" s="38" t="n">
        <x:v>5</x:v>
      </x:c>
      <x:c r="L12" s="38" t="n">
        <x:v>0</x:v>
      </x:c>
      <x:c r="M12" s="38" t="str">
        <x:v>On Target</x:v>
      </x:c>
      <x:c r="N12" s="38" t="str">
        <x:v>API</x:v>
      </x:c>
      <x:c r="O12" s="42" t="n">
        <x:v>46243</x:v>
      </x:c>
      <x:c r="P12" s="38" t="str">
        <x:v>KRI-EVD-008</x:v>
      </x:c>
      <x:c r="Q12" s="38" t="str">
        <x:v>Synthetic threshold values for testing.</x:v>
      </x:c>
    </x:row>
    <x:row r="13">
      <x:c r="A13" s="38" t="str">
        <x:v>KRI-APP-009</x:v>
      </x:c>
      <x:c r="B13" s="38" t="str">
        <x:v>RISK-APP-009</x:v>
      </x:c>
      <x:c r="C13" s="38" t="str">
        <x:v>Application telemetry privacy leakage indicator</x:v>
      </x:c>
      <x:c r="D13" s="38" t="str">
        <x:v>Privacy</x:v>
      </x:c>
      <x:c r="E13" s="38" t="str">
        <x:v>Lama</x:v>
      </x:c>
      <x:c r="F13" s="38" t="str">
        <x:v>Weekly</x:v>
      </x:c>
      <x:c r="G13" s="38" t="str">
        <x:v>%</x:v>
      </x:c>
      <x:c r="H13" s="38" t="str">
        <x:v>Measured from approved operational telemetry and governance records.</x:v>
      </x:c>
      <x:c r="I13" s="38" t="n">
        <x:v>95</x:v>
      </x:c>
      <x:c r="J13" s="38" t="n">
        <x:v>90</x:v>
      </x:c>
      <x:c r="K13" s="38" t="n">
        <x:v>80</x:v>
      </x:c>
      <x:c r="L13" s="38" t="n">
        <x:v>92</x:v>
      </x:c>
      <x:c r="M13" s="38" t="str">
        <x:v>Warning</x:v>
      </x:c>
      <x:c r="N13" s="38" t="str">
        <x:v>SIEM</x:v>
      </x:c>
      <x:c r="O13" s="42" t="n">
        <x:v>46244</x:v>
      </x:c>
      <x:c r="P13" s="38" t="str">
        <x:v>KRI-EVD-009</x:v>
      </x:c>
      <x:c r="Q13" s="38" t="str">
        <x:v>Synthetic threshold values for testing.</x:v>
      </x:c>
    </x:row>
    <x:row r="14">
      <x:c r="A14" s="38" t="str">
        <x:v>KRI-APP-010</x:v>
      </x:c>
      <x:c r="B14" s="38" t="str">
        <x:v>RISK-APP-010</x:v>
      </x:c>
      <x:c r="C14" s="38" t="str">
        <x:v>Third-party SDK supply-chain compromise indicator</x:v>
      </x:c>
      <x:c r="D14" s="38" t="str">
        <x:v>App Governance</x:v>
      </x:c>
      <x:c r="E14" s="38" t="str">
        <x:v>Kareem</x:v>
      </x:c>
      <x:c r="F14" s="38" t="str">
        <x:v>Monthly</x:v>
      </x:c>
      <x:c r="G14" s="38" t="str">
        <x:v>Count</x:v>
      </x:c>
      <x:c r="H14" s="38" t="str">
        <x:v>Measured from approved operational telemetry and governance records.</x:v>
      </x:c>
      <x:c r="I14" s="38" t="n">
        <x:v>0</x:v>
      </x:c>
      <x:c r="J14" s="38" t="n">
        <x:v>2</x:v>
      </x:c>
      <x:c r="K14" s="38" t="n">
        <x:v>5</x:v>
      </x:c>
      <x:c r="L14" s="38" t="n">
        <x:v>3</x:v>
      </x:c>
      <x:c r="M14" s="38" t="str">
        <x:v>Warning</x:v>
      </x:c>
      <x:c r="N14" s="38" t="str">
        <x:v>Manual Entry</x:v>
      </x:c>
      <x:c r="O14" s="42" t="n">
        <x:v>46245</x:v>
      </x:c>
      <x:c r="P14" s="38" t="str">
        <x:v>KRI-EVD-010</x:v>
      </x:c>
      <x:c r="Q14" s="38" t="str">
        <x:v>Synthetic threshold values for testing.</x:v>
      </x:c>
    </x:row>
    <x:row r="15">
      <x:c r="A15" s="38" t="str">
        <x:v>KRI-APP-011</x:v>
      </x:c>
      <x:c r="B15" s="38" t="str">
        <x:v>RISK-APP-011</x:v>
      </x:c>
      <x:c r="C15" s="38" t="str">
        <x:v>Retail identity role conflict indicator</x:v>
      </x:c>
      <x:c r="D15" s="38" t="str">
        <x:v>Retail Technology</x:v>
      </x:c>
      <x:c r="E15" s="38" t="str">
        <x:v>Aseel</x:v>
      </x:c>
      <x:c r="F15" s="38" t="str">
        <x:v>Quarterly</x:v>
      </x:c>
      <x:c r="G15" s="38" t="str">
        <x:v>Count</x:v>
      </x:c>
      <x:c r="H15" s="38" t="str">
        <x:v>Measured from approved operational telemetry and governance records.</x:v>
      </x:c>
      <x:c r="I15" s="38" t="n">
        <x:v>0</x:v>
      </x:c>
      <x:c r="J15" s="38" t="n">
        <x:v>2</x:v>
      </x:c>
      <x:c r="K15" s="38" t="n">
        <x:v>5</x:v>
      </x:c>
      <x:c r="L15" s="38" t="n">
        <x:v>6</x:v>
      </x:c>
      <x:c r="M15" s="38" t="str">
        <x:v>On Target</x:v>
      </x:c>
      <x:c r="N15" s="38" t="str">
        <x:v>Excel Import</x:v>
      </x:c>
      <x:c r="O15" s="42" t="n">
        <x:v>46246</x:v>
      </x:c>
      <x:c r="P15" s="38" t="str">
        <x:v>KRI-EVD-011</x:v>
      </x:c>
      <x:c r="Q15" s="38" t="str">
        <x:v>Synthetic threshold values for testing.</x:v>
      </x:c>
    </x:row>
    <x:row r="16">
      <x:c r="A16" s="38" t="str">
        <x:v>KRI-APP-012</x:v>
      </x:c>
      <x:c r="B16" s="38" t="str">
        <x:v>RISK-APP-012</x:v>
      </x:c>
      <x:c r="C16" s="38" t="str">
        <x:v>Service exception accumulation indicator</x:v>
      </x:c>
      <x:c r="D16" s="38" t="str">
        <x:v>GRC</x:v>
      </x:c>
      <x:c r="E16" s="38" t="str">
        <x:v>Walid</x:v>
      </x:c>
      <x:c r="F16" s="38" t="str">
        <x:v>Daily</x:v>
      </x:c>
      <x:c r="G16" s="38" t="str">
        <x:v>%</x:v>
      </x:c>
      <x:c r="H16" s="38" t="str">
        <x:v>Measured from approved operational telemetry and governance records.</x:v>
      </x:c>
      <x:c r="I16" s="38" t="n">
        <x:v>2</x:v>
      </x:c>
      <x:c r="J16" s="38" t="n">
        <x:v>5</x:v>
      </x:c>
      <x:c r="K16" s="38" t="n">
        <x:v>10</x:v>
      </x:c>
      <x:c r="L16" s="38" t="n">
        <x:v>3</x:v>
      </x:c>
      <x:c r="M16" s="38" t="str">
        <x:v>Warning</x:v>
      </x:c>
      <x:c r="N16" s="38" t="str">
        <x:v>API</x:v>
      </x:c>
      <x:c r="O16" s="42" t="n">
        <x:v>46247</x:v>
      </x:c>
      <x:c r="P16" s="38" t="str">
        <x:v>KRI-EVD-012</x:v>
      </x:c>
      <x:c r="Q16" s="38" t="str">
        <x:v>Synthetic threshold values for testing.</x:v>
      </x:c>
    </x:row>
  </x:sheetData>
  <x:mergeCells>
    <x:mergeCell ref="A1:Q1"/>
    <x:mergeCell ref="A2:Q2"/>
  </x:mergeCells>
  <x:conditionalFormatting sqref="A5:Q16">
    <x:cfRule type="expression" dxfId="15" priority="1">
      <x:formula>MOD(ROW(),2)=0</x:formula>
    </x:cfRule>
  </x:conditionalFormatting>
  <x:conditionalFormatting sqref="M5:M16">
    <x:cfRule type="expression" dxfId="16" priority="2">
      <x:formula>$M5="Critical"</x:formula>
    </x:cfRule>
    <x:cfRule type="expression" dxfId="17" priority="3">
      <x:formula>$M5="Warning"</x:formula>
    </x:cfRule>
    <x:cfRule type="expression" dxfId="18" priority="4">
      <x:formula>$M5="On Target"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f65a3e8b29f5432a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8" hidden="0" customWidth="1"/>
    <x:col min="3" max="3" width="17" hidden="0" customWidth="1"/>
    <x:col min="4" max="4" width="17" hidden="0" customWidth="1"/>
    <x:col min="5" max="5" width="16" hidden="0" customWidth="1"/>
    <x:col min="6" max="6" width="18" hidden="0" customWidth="1"/>
    <x:col min="7" max="7" width="18" hidden="0" customWidth="1"/>
    <x:col min="8" max="8" width="16" hidden="0" customWidth="1"/>
    <x:col min="9" max="9" width="17" hidden="0" customWidth="1"/>
    <x:col min="10" max="10" width="21" hidden="0" customWidth="1"/>
    <x:col min="11" max="11" width="34" hidden="0" customWidth="1"/>
  </x:cols>
  <x:sheetData>
    <x:row r="1" ht="34" customHeight="1">
      <x:c r="A1" s="5" t="str">
        <x:v>Apple KRI Measurement History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</x:row>
    <x:row r="2" ht="28" customHeight="1">
      <x:c r="A2" s="13" t="str">
        <x:v>Synthetic time-series measurements. Historical periods are preserved rather than overwritten.</x:v>
      </x:c>
      <x:c r="B2" s="13"/>
      <x:c r="C2" s="13"/>
      <x:c r="D2" s="13"/>
      <x:c r="E2" s="13"/>
      <x:c r="F2" s="13"/>
      <x:c r="G2" s="13"/>
      <x:c r="H2" s="13"/>
      <x:c r="I2" s="13"/>
      <x:c r="J2" s="13"/>
      <x:c r="K2" s="13"/>
    </x:row>
    <x:row r="4" ht="32" customHeight="1">
      <x:c r="A4" s="30" t="str">
        <x:v>Measurement ID</x:v>
      </x:c>
      <x:c r="B4" s="30" t="str">
        <x:v>KRI ID</x:v>
      </x:c>
      <x:c r="C4" s="30" t="str">
        <x:v>Measurement Date</x:v>
      </x:c>
      <x:c r="D4" s="30" t="str">
        <x:v>Reporting Period</x:v>
      </x:c>
      <x:c r="E4" s="30" t="str">
        <x:v>Measured Value</x:v>
      </x:c>
      <x:c r="F4" s="30" t="str">
        <x:v>Measurement Unit</x:v>
      </x:c>
      <x:c r="G4" s="30" t="str">
        <x:v>Calculated Status</x:v>
      </x:c>
      <x:c r="H4" s="30" t="str">
        <x:v>Measured By</x:v>
      </x:c>
      <x:c r="I4" s="30" t="str">
        <x:v>Data Source</x:v>
      </x:c>
      <x:c r="J4" s="30" t="str">
        <x:v>Evidence ID</x:v>
      </x:c>
      <x:c r="K4" s="30" t="str">
        <x:v>Measurement Notes</x:v>
      </x:c>
    </x:row>
    <x:row r="5">
      <x:c r="A5" s="38" t="str">
        <x:v>MEAS-APP-001-1</x:v>
      </x:c>
      <x:c r="B5" s="38" t="str">
        <x:v>KRI-APP-001</x:v>
      </x:c>
      <x:c r="C5" s="42" t="n">
        <x:v>46112</x:v>
      </x:c>
      <x:c r="D5" s="38" t="str">
        <x:v>Mar 2026</x:v>
      </x:c>
      <x:c r="E5" s="38" t="n">
        <x:v>4</x:v>
      </x:c>
      <x:c r="F5" s="38" t="str">
        <x:v>Count</x:v>
      </x:c>
      <x:c r="G5" s="38" t="str">
        <x:v>On Target</x:v>
      </x:c>
      <x:c r="H5" s="38" t="str">
        <x:v>Rasha</x:v>
      </x:c>
      <x:c r="I5" s="38" t="str">
        <x:v>SIEM</x:v>
      </x:c>
      <x:c r="J5" s="38" t="str">
        <x:v>MEAS-EVD-001-1</x:v>
      </x:c>
      <x:c r="K5" s="38" t="str">
        <x:v>Synthetic historical measurement.</x:v>
      </x:c>
    </x:row>
    <x:row r="6">
      <x:c r="A6" s="38" t="str">
        <x:v>MEAS-APP-001-2</x:v>
      </x:c>
      <x:c r="B6" s="38" t="str">
        <x:v>KRI-APP-001</x:v>
      </x:c>
      <x:c r="C6" s="42" t="n">
        <x:v>46142</x:v>
      </x:c>
      <x:c r="D6" s="38" t="str">
        <x:v>Apr 2026</x:v>
      </x:c>
      <x:c r="E6" s="38" t="n">
        <x:v>3</x:v>
      </x:c>
      <x:c r="F6" s="38" t="str">
        <x:v>Count</x:v>
      </x:c>
      <x:c r="G6" s="38" t="str">
        <x:v>On Target</x:v>
      </x:c>
      <x:c r="H6" s="38" t="str">
        <x:v>Rasha</x:v>
      </x:c>
      <x:c r="I6" s="38" t="str">
        <x:v>SIEM</x:v>
      </x:c>
      <x:c r="J6" s="38" t="str">
        <x:v>MEAS-EVD-001-2</x:v>
      </x:c>
      <x:c r="K6" s="38" t="str">
        <x:v>Synthetic historical measurement.</x:v>
      </x:c>
    </x:row>
    <x:row r="7">
      <x:c r="A7" s="38" t="str">
        <x:v>MEAS-APP-001-3</x:v>
      </x:c>
      <x:c r="B7" s="38" t="str">
        <x:v>KRI-APP-001</x:v>
      </x:c>
      <x:c r="C7" s="42" t="n">
        <x:v>46172</x:v>
      </x:c>
      <x:c r="D7" s="38" t="str">
        <x:v>May 2026</x:v>
      </x:c>
      <x:c r="E7" s="38" t="n">
        <x:v>2</x:v>
      </x:c>
      <x:c r="F7" s="38" t="str">
        <x:v>Count</x:v>
      </x:c>
      <x:c r="G7" s="38" t="str">
        <x:v>On Target</x:v>
      </x:c>
      <x:c r="H7" s="38" t="str">
        <x:v>Rasha</x:v>
      </x:c>
      <x:c r="I7" s="38" t="str">
        <x:v>SIEM</x:v>
      </x:c>
      <x:c r="J7" s="38" t="str">
        <x:v>MEAS-EVD-001-3</x:v>
      </x:c>
      <x:c r="K7" s="38" t="str">
        <x:v>Synthetic historical measurement.</x:v>
      </x:c>
    </x:row>
    <x:row r="8">
      <x:c r="A8" s="38" t="str">
        <x:v>MEAS-APP-001-4</x:v>
      </x:c>
      <x:c r="B8" s="38" t="str">
        <x:v>KRI-APP-001</x:v>
      </x:c>
      <x:c r="C8" s="42" t="n">
        <x:v>46202</x:v>
      </x:c>
      <x:c r="D8" s="38" t="str">
        <x:v>Jun 2026</x:v>
      </x:c>
      <x:c r="E8" s="38" t="n">
        <x:v>1</x:v>
      </x:c>
      <x:c r="F8" s="38" t="str">
        <x:v>Count</x:v>
      </x:c>
      <x:c r="G8" s="38" t="str">
        <x:v>On Target</x:v>
      </x:c>
      <x:c r="H8" s="38" t="str">
        <x:v>Rasha</x:v>
      </x:c>
      <x:c r="I8" s="38" t="str">
        <x:v>SIEM</x:v>
      </x:c>
      <x:c r="J8" s="38" t="str">
        <x:v>MEAS-EVD-001-4</x:v>
      </x:c>
      <x:c r="K8" s="38" t="str">
        <x:v>Synthetic historical measurement.</x:v>
      </x:c>
    </x:row>
    <x:row r="9">
      <x:c r="A9" s="38" t="str">
        <x:v>MEAS-APP-001-5</x:v>
      </x:c>
      <x:c r="B9" s="38" t="str">
        <x:v>KRI-APP-001</x:v>
      </x:c>
      <x:c r="C9" s="42" t="n">
        <x:v>46232</x:v>
      </x:c>
      <x:c r="D9" s="38" t="str">
        <x:v>Jul 2026</x:v>
      </x:c>
      <x:c r="E9" s="38" t="n">
        <x:v>0</x:v>
      </x:c>
      <x:c r="F9" s="38" t="str">
        <x:v>Count</x:v>
      </x:c>
      <x:c r="G9" s="38" t="str">
        <x:v>On Target</x:v>
      </x:c>
      <x:c r="H9" s="38" t="str">
        <x:v>Rasha</x:v>
      </x:c>
      <x:c r="I9" s="38" t="str">
        <x:v>SIEM</x:v>
      </x:c>
      <x:c r="J9" s="38" t="str">
        <x:v>MEAS-EVD-001-5</x:v>
      </x:c>
      <x:c r="K9" s="38" t="str">
        <x:v>Synthetic historical measurement.</x:v>
      </x:c>
    </x:row>
    <x:row r="10">
      <x:c r="A10" s="38" t="str">
        <x:v>MEAS-APP-001-6</x:v>
      </x:c>
      <x:c r="B10" s="38" t="str">
        <x:v>KRI-APP-001</x:v>
      </x:c>
      <x:c r="C10" s="42" t="n">
        <x:v>46262</x:v>
      </x:c>
      <x:c r="D10" s="38" t="str">
        <x:v>Aug 2026</x:v>
      </x:c>
      <x:c r="E10" s="38" t="n">
        <x:v>0</x:v>
      </x:c>
      <x:c r="F10" s="38" t="str">
        <x:v>Count</x:v>
      </x:c>
      <x:c r="G10" s="38" t="str">
        <x:v>On Target</x:v>
      </x:c>
      <x:c r="H10" s="38" t="str">
        <x:v>Rasha</x:v>
      </x:c>
      <x:c r="I10" s="38" t="str">
        <x:v>SIEM</x:v>
      </x:c>
      <x:c r="J10" s="38" t="str">
        <x:v>MEAS-EVD-001-6</x:v>
      </x:c>
      <x:c r="K10" s="38" t="str">
        <x:v>Synthetic historical measurement.</x:v>
      </x:c>
    </x:row>
    <x:row r="11">
      <x:c r="A11" s="38" t="str">
        <x:v>MEAS-APP-002-1</x:v>
      </x:c>
      <x:c r="B11" s="38" t="str">
        <x:v>KRI-APP-002</x:v>
      </x:c>
      <x:c r="C11" s="42" t="n">
        <x:v>46112</x:v>
      </x:c>
      <x:c r="D11" s="38" t="str">
        <x:v>Mar 2026</x:v>
      </x:c>
      <x:c r="E11" s="38" t="n">
        <x:v>0</x:v>
      </x:c>
      <x:c r="F11" s="38" t="str">
        <x:v>Count</x:v>
      </x:c>
      <x:c r="G11" s="38" t="str">
        <x:v>On Target</x:v>
      </x:c>
      <x:c r="H11" s="38" t="str">
        <x:v>Adel</x:v>
      </x:c>
      <x:c r="I11" s="38" t="str">
        <x:v>Manual Entry</x:v>
      </x:c>
      <x:c r="J11" s="38" t="str">
        <x:v>MEAS-EVD-002-1</x:v>
      </x:c>
      <x:c r="K11" s="38" t="str">
        <x:v>Synthetic historical measurement.</x:v>
      </x:c>
    </x:row>
    <x:row r="12">
      <x:c r="A12" s="38" t="str">
        <x:v>MEAS-APP-002-2</x:v>
      </x:c>
      <x:c r="B12" s="38" t="str">
        <x:v>KRI-APP-002</x:v>
      </x:c>
      <x:c r="C12" s="42" t="n">
        <x:v>46142</x:v>
      </x:c>
      <x:c r="D12" s="38" t="str">
        <x:v>Apr 2026</x:v>
      </x:c>
      <x:c r="E12" s="38" t="n">
        <x:v>1</x:v>
      </x:c>
      <x:c r="F12" s="38" t="str">
        <x:v>Count</x:v>
      </x:c>
      <x:c r="G12" s="38" t="str">
        <x:v>Warning</x:v>
      </x:c>
      <x:c r="H12" s="38" t="str">
        <x:v>Adel</x:v>
      </x:c>
      <x:c r="I12" s="38" t="str">
        <x:v>Manual Entry</x:v>
      </x:c>
      <x:c r="J12" s="38" t="str">
        <x:v>MEAS-EVD-002-2</x:v>
      </x:c>
      <x:c r="K12" s="38" t="str">
        <x:v>Synthetic historical measurement.</x:v>
      </x:c>
    </x:row>
    <x:row r="13">
      <x:c r="A13" s="38" t="str">
        <x:v>MEAS-APP-002-3</x:v>
      </x:c>
      <x:c r="B13" s="38" t="str">
        <x:v>KRI-APP-002</x:v>
      </x:c>
      <x:c r="C13" s="42" t="n">
        <x:v>46172</x:v>
      </x:c>
      <x:c r="D13" s="38" t="str">
        <x:v>May 2026</x:v>
      </x:c>
      <x:c r="E13" s="38" t="n">
        <x:v>2</x:v>
      </x:c>
      <x:c r="F13" s="38" t="str">
        <x:v>Count</x:v>
      </x:c>
      <x:c r="G13" s="38" t="str">
        <x:v>Warning</x:v>
      </x:c>
      <x:c r="H13" s="38" t="str">
        <x:v>Adel</x:v>
      </x:c>
      <x:c r="I13" s="38" t="str">
        <x:v>Manual Entry</x:v>
      </x:c>
      <x:c r="J13" s="38" t="str">
        <x:v>MEAS-EVD-002-3</x:v>
      </x:c>
      <x:c r="K13" s="38" t="str">
        <x:v>Synthetic historical measurement.</x:v>
      </x:c>
    </x:row>
    <x:row r="14">
      <x:c r="A14" s="38" t="str">
        <x:v>MEAS-APP-002-4</x:v>
      </x:c>
      <x:c r="B14" s="38" t="str">
        <x:v>KRI-APP-002</x:v>
      </x:c>
      <x:c r="C14" s="42" t="n">
        <x:v>46202</x:v>
      </x:c>
      <x:c r="D14" s="38" t="str">
        <x:v>Jun 2026</x:v>
      </x:c>
      <x:c r="E14" s="38" t="n">
        <x:v>3</x:v>
      </x:c>
      <x:c r="F14" s="38" t="str">
        <x:v>Count</x:v>
      </x:c>
      <x:c r="G14" s="38" t="str">
        <x:v>Warning</x:v>
      </x:c>
      <x:c r="H14" s="38" t="str">
        <x:v>Adel</x:v>
      </x:c>
      <x:c r="I14" s="38" t="str">
        <x:v>Manual Entry</x:v>
      </x:c>
      <x:c r="J14" s="38" t="str">
        <x:v>MEAS-EVD-002-4</x:v>
      </x:c>
      <x:c r="K14" s="38" t="str">
        <x:v>Synthetic historical measurement.</x:v>
      </x:c>
    </x:row>
    <x:row r="15">
      <x:c r="A15" s="38" t="str">
        <x:v>MEAS-APP-002-5</x:v>
      </x:c>
      <x:c r="B15" s="38" t="str">
        <x:v>KRI-APP-002</x:v>
      </x:c>
      <x:c r="C15" s="42" t="n">
        <x:v>46232</x:v>
      </x:c>
      <x:c r="D15" s="38" t="str">
        <x:v>Jul 2026</x:v>
      </x:c>
      <x:c r="E15" s="38" t="n">
        <x:v>4</x:v>
      </x:c>
      <x:c r="F15" s="38" t="str">
        <x:v>Count</x:v>
      </x:c>
      <x:c r="G15" s="38" t="str">
        <x:v>Warning</x:v>
      </x:c>
      <x:c r="H15" s="38" t="str">
        <x:v>Adel</x:v>
      </x:c>
      <x:c r="I15" s="38" t="str">
        <x:v>Manual Entry</x:v>
      </x:c>
      <x:c r="J15" s="38" t="str">
        <x:v>MEAS-EVD-002-5</x:v>
      </x:c>
      <x:c r="K15" s="38" t="str">
        <x:v>Synthetic historical measurement.</x:v>
      </x:c>
    </x:row>
    <x:row r="16">
      <x:c r="A16" s="38" t="str">
        <x:v>MEAS-APP-002-6</x:v>
      </x:c>
      <x:c r="B16" s="38" t="str">
        <x:v>KRI-APP-002</x:v>
      </x:c>
      <x:c r="C16" s="42" t="n">
        <x:v>46262</x:v>
      </x:c>
      <x:c r="D16" s="38" t="str">
        <x:v>Aug 2026</x:v>
      </x:c>
      <x:c r="E16" s="38" t="n">
        <x:v>5</x:v>
      </x:c>
      <x:c r="F16" s="38" t="str">
        <x:v>Count</x:v>
      </x:c>
      <x:c r="G16" s="38" t="str">
        <x:v>Critical</x:v>
      </x:c>
      <x:c r="H16" s="38" t="str">
        <x:v>Adel</x:v>
      </x:c>
      <x:c r="I16" s="38" t="str">
        <x:v>Manual Entry</x:v>
      </x:c>
      <x:c r="J16" s="38" t="str">
        <x:v>MEAS-EVD-002-6</x:v>
      </x:c>
      <x:c r="K16" s="38" t="str">
        <x:v>Synthetic historical measurement.</x:v>
      </x:c>
    </x:row>
    <x:row r="17">
      <x:c r="A17" s="38" t="str">
        <x:v>MEAS-APP-003-1</x:v>
      </x:c>
      <x:c r="B17" s="38" t="str">
        <x:v>KRI-APP-003</x:v>
      </x:c>
      <x:c r="C17" s="42" t="n">
        <x:v>46112</x:v>
      </x:c>
      <x:c r="D17" s="38" t="str">
        <x:v>Mar 2026</x:v>
      </x:c>
      <x:c r="E17" s="38" t="n">
        <x:v>92</x:v>
      </x:c>
      <x:c r="F17" s="38" t="str">
        <x:v>%</x:v>
      </x:c>
      <x:c r="G17" s="38" t="str">
        <x:v>Warning</x:v>
      </x:c>
      <x:c r="H17" s="38" t="str">
        <x:v>Yousef</x:v>
      </x:c>
      <x:c r="I17" s="38" t="str">
        <x:v>Excel Import</x:v>
      </x:c>
      <x:c r="J17" s="38" t="str">
        <x:v>MEAS-EVD-003-1</x:v>
      </x:c>
      <x:c r="K17" s="38" t="str">
        <x:v>Synthetic historical measurement.</x:v>
      </x:c>
    </x:row>
    <x:row r="18">
      <x:c r="A18" s="38" t="str">
        <x:v>MEAS-APP-003-2</x:v>
      </x:c>
      <x:c r="B18" s="38" t="str">
        <x:v>KRI-APP-003</x:v>
      </x:c>
      <x:c r="C18" s="42" t="n">
        <x:v>46142</x:v>
      </x:c>
      <x:c r="D18" s="38" t="str">
        <x:v>Apr 2026</x:v>
      </x:c>
      <x:c r="E18" s="38" t="n">
        <x:v>91</x:v>
      </x:c>
      <x:c r="F18" s="38" t="str">
        <x:v>%</x:v>
      </x:c>
      <x:c r="G18" s="38" t="str">
        <x:v>Warning</x:v>
      </x:c>
      <x:c r="H18" s="38" t="str">
        <x:v>Yousef</x:v>
      </x:c>
      <x:c r="I18" s="38" t="str">
        <x:v>Excel Import</x:v>
      </x:c>
      <x:c r="J18" s="38" t="str">
        <x:v>MEAS-EVD-003-2</x:v>
      </x:c>
      <x:c r="K18" s="38" t="str">
        <x:v>Synthetic historical measurement.</x:v>
      </x:c>
    </x:row>
    <x:row r="19">
      <x:c r="A19" s="38" t="str">
        <x:v>MEAS-APP-003-3</x:v>
      </x:c>
      <x:c r="B19" s="38" t="str">
        <x:v>KRI-APP-003</x:v>
      </x:c>
      <x:c r="C19" s="42" t="n">
        <x:v>46172</x:v>
      </x:c>
      <x:c r="D19" s="38" t="str">
        <x:v>May 2026</x:v>
      </x:c>
      <x:c r="E19" s="38" t="n">
        <x:v>90</x:v>
      </x:c>
      <x:c r="F19" s="38" t="str">
        <x:v>%</x:v>
      </x:c>
      <x:c r="G19" s="38" t="str">
        <x:v>Warning</x:v>
      </x:c>
      <x:c r="H19" s="38" t="str">
        <x:v>Yousef</x:v>
      </x:c>
      <x:c r="I19" s="38" t="str">
        <x:v>Excel Import</x:v>
      </x:c>
      <x:c r="J19" s="38" t="str">
        <x:v>MEAS-EVD-003-3</x:v>
      </x:c>
      <x:c r="K19" s="38" t="str">
        <x:v>Synthetic historical measurement.</x:v>
      </x:c>
    </x:row>
    <x:row r="20">
      <x:c r="A20" s="38" t="str">
        <x:v>MEAS-APP-003-4</x:v>
      </x:c>
      <x:c r="B20" s="38" t="str">
        <x:v>KRI-APP-003</x:v>
      </x:c>
      <x:c r="C20" s="42" t="n">
        <x:v>46202</x:v>
      </x:c>
      <x:c r="D20" s="38" t="str">
        <x:v>Jun 2026</x:v>
      </x:c>
      <x:c r="E20" s="38" t="n">
        <x:v>89</x:v>
      </x:c>
      <x:c r="F20" s="38" t="str">
        <x:v>%</x:v>
      </x:c>
      <x:c r="G20" s="38" t="str">
        <x:v>Warning</x:v>
      </x:c>
      <x:c r="H20" s="38" t="str">
        <x:v>Yousef</x:v>
      </x:c>
      <x:c r="I20" s="38" t="str">
        <x:v>Excel Import</x:v>
      </x:c>
      <x:c r="J20" s="38" t="str">
        <x:v>MEAS-EVD-003-4</x:v>
      </x:c>
      <x:c r="K20" s="38" t="str">
        <x:v>Synthetic historical measurement.</x:v>
      </x:c>
    </x:row>
    <x:row r="21">
      <x:c r="A21" s="38" t="str">
        <x:v>MEAS-APP-003-5</x:v>
      </x:c>
      <x:c r="B21" s="38" t="str">
        <x:v>KRI-APP-003</x:v>
      </x:c>
      <x:c r="C21" s="42" t="n">
        <x:v>46232</x:v>
      </x:c>
      <x:c r="D21" s="38" t="str">
        <x:v>Jul 2026</x:v>
      </x:c>
      <x:c r="E21" s="38" t="n">
        <x:v>88</x:v>
      </x:c>
      <x:c r="F21" s="38" t="str">
        <x:v>%</x:v>
      </x:c>
      <x:c r="G21" s="38" t="str">
        <x:v>Warning</x:v>
      </x:c>
      <x:c r="H21" s="38" t="str">
        <x:v>Yousef</x:v>
      </x:c>
      <x:c r="I21" s="38" t="str">
        <x:v>Excel Import</x:v>
      </x:c>
      <x:c r="J21" s="38" t="str">
        <x:v>MEAS-EVD-003-5</x:v>
      </x:c>
      <x:c r="K21" s="38" t="str">
        <x:v>Synthetic historical measurement.</x:v>
      </x:c>
    </x:row>
    <x:row r="22">
      <x:c r="A22" s="38" t="str">
        <x:v>MEAS-APP-003-6</x:v>
      </x:c>
      <x:c r="B22" s="38" t="str">
        <x:v>KRI-APP-003</x:v>
      </x:c>
      <x:c r="C22" s="42" t="n">
        <x:v>46262</x:v>
      </x:c>
      <x:c r="D22" s="38" t="str">
        <x:v>Aug 2026</x:v>
      </x:c>
      <x:c r="E22" s="38" t="n">
        <x:v>87</x:v>
      </x:c>
      <x:c r="F22" s="38" t="str">
        <x:v>%</x:v>
      </x:c>
      <x:c r="G22" s="38" t="str">
        <x:v>Warning</x:v>
      </x:c>
      <x:c r="H22" s="38" t="str">
        <x:v>Yousef</x:v>
      </x:c>
      <x:c r="I22" s="38" t="str">
        <x:v>Excel Import</x:v>
      </x:c>
      <x:c r="J22" s="38" t="str">
        <x:v>MEAS-EVD-003-6</x:v>
      </x:c>
      <x:c r="K22" s="38" t="str">
        <x:v>Synthetic historical measurement.</x:v>
      </x:c>
    </x:row>
    <x:row r="23">
      <x:c r="A23" s="38" t="str">
        <x:v>MEAS-APP-004-1</x:v>
      </x:c>
      <x:c r="B23" s="38" t="str">
        <x:v>KRI-APP-004</x:v>
      </x:c>
      <x:c r="C23" s="42" t="n">
        <x:v>46112</x:v>
      </x:c>
      <x:c r="D23" s="38" t="str">
        <x:v>Mar 2026</x:v>
      </x:c>
      <x:c r="E23" s="38" t="n">
        <x:v>0</x:v>
      </x:c>
      <x:c r="F23" s="38" t="str">
        <x:v>Count</x:v>
      </x:c>
      <x:c r="G23" s="38" t="str">
        <x:v>On Target</x:v>
      </x:c>
      <x:c r="H23" s="38" t="str">
        <x:v>Mona</x:v>
      </x:c>
      <x:c r="I23" s="38" t="str">
        <x:v>API</x:v>
      </x:c>
      <x:c r="J23" s="38" t="str">
        <x:v>MEAS-EVD-004-1</x:v>
      </x:c>
      <x:c r="K23" s="38" t="str">
        <x:v>Synthetic historical measurement.</x:v>
      </x:c>
    </x:row>
    <x:row r="24">
      <x:c r="A24" s="38" t="str">
        <x:v>MEAS-APP-004-2</x:v>
      </x:c>
      <x:c r="B24" s="38" t="str">
        <x:v>KRI-APP-004</x:v>
      </x:c>
      <x:c r="C24" s="42" t="n">
        <x:v>46142</x:v>
      </x:c>
      <x:c r="D24" s="38" t="str">
        <x:v>Apr 2026</x:v>
      </x:c>
      <x:c r="E24" s="38" t="n">
        <x:v>0</x:v>
      </x:c>
      <x:c r="F24" s="38" t="str">
        <x:v>Count</x:v>
      </x:c>
      <x:c r="G24" s="38" t="str">
        <x:v>On Target</x:v>
      </x:c>
      <x:c r="H24" s="38" t="str">
        <x:v>Mona</x:v>
      </x:c>
      <x:c r="I24" s="38" t="str">
        <x:v>API</x:v>
      </x:c>
      <x:c r="J24" s="38" t="str">
        <x:v>MEAS-EVD-004-2</x:v>
      </x:c>
      <x:c r="K24" s="38" t="str">
        <x:v>Synthetic historical measurement.</x:v>
      </x:c>
    </x:row>
    <x:row r="25">
      <x:c r="A25" s="38" t="str">
        <x:v>MEAS-APP-004-3</x:v>
      </x:c>
      <x:c r="B25" s="38" t="str">
        <x:v>KRI-APP-004</x:v>
      </x:c>
      <x:c r="C25" s="42" t="n">
        <x:v>46172</x:v>
      </x:c>
      <x:c r="D25" s="38" t="str">
        <x:v>May 2026</x:v>
      </x:c>
      <x:c r="E25" s="38" t="n">
        <x:v>0</x:v>
      </x:c>
      <x:c r="F25" s="38" t="str">
        <x:v>Count</x:v>
      </x:c>
      <x:c r="G25" s="38" t="str">
        <x:v>On Target</x:v>
      </x:c>
      <x:c r="H25" s="38" t="str">
        <x:v>Mona</x:v>
      </x:c>
      <x:c r="I25" s="38" t="str">
        <x:v>API</x:v>
      </x:c>
      <x:c r="J25" s="38" t="str">
        <x:v>MEAS-EVD-004-3</x:v>
      </x:c>
      <x:c r="K25" s="38" t="str">
        <x:v>Synthetic historical measurement.</x:v>
      </x:c>
    </x:row>
    <x:row r="26">
      <x:c r="A26" s="38" t="str">
        <x:v>MEAS-APP-004-4</x:v>
      </x:c>
      <x:c r="B26" s="38" t="str">
        <x:v>KRI-APP-004</x:v>
      </x:c>
      <x:c r="C26" s="42" t="n">
        <x:v>46202</x:v>
      </x:c>
      <x:c r="D26" s="38" t="str">
        <x:v>Jun 2026</x:v>
      </x:c>
      <x:c r="E26" s="38" t="n">
        <x:v>0</x:v>
      </x:c>
      <x:c r="F26" s="38" t="str">
        <x:v>Count</x:v>
      </x:c>
      <x:c r="G26" s="38" t="str">
        <x:v>On Target</x:v>
      </x:c>
      <x:c r="H26" s="38" t="str">
        <x:v>Mona</x:v>
      </x:c>
      <x:c r="I26" s="38" t="str">
        <x:v>API</x:v>
      </x:c>
      <x:c r="J26" s="38" t="str">
        <x:v>MEAS-EVD-004-4</x:v>
      </x:c>
      <x:c r="K26" s="38" t="str">
        <x:v>Synthetic historical measurement.</x:v>
      </x:c>
    </x:row>
    <x:row r="27">
      <x:c r="A27" s="38" t="str">
        <x:v>MEAS-APP-004-5</x:v>
      </x:c>
      <x:c r="B27" s="38" t="str">
        <x:v>KRI-APP-004</x:v>
      </x:c>
      <x:c r="C27" s="42" t="n">
        <x:v>46232</x:v>
      </x:c>
      <x:c r="D27" s="38" t="str">
        <x:v>Jul 2026</x:v>
      </x:c>
      <x:c r="E27" s="38" t="n">
        <x:v>1</x:v>
      </x:c>
      <x:c r="F27" s="38" t="str">
        <x:v>Count</x:v>
      </x:c>
      <x:c r="G27" s="38" t="str">
        <x:v>Warning</x:v>
      </x:c>
      <x:c r="H27" s="38" t="str">
        <x:v>Mona</x:v>
      </x:c>
      <x:c r="I27" s="38" t="str">
        <x:v>API</x:v>
      </x:c>
      <x:c r="J27" s="38" t="str">
        <x:v>MEAS-EVD-004-5</x:v>
      </x:c>
      <x:c r="K27" s="38" t="str">
        <x:v>Synthetic historical measurement.</x:v>
      </x:c>
    </x:row>
    <x:row r="28">
      <x:c r="A28" s="38" t="str">
        <x:v>MEAS-APP-004-6</x:v>
      </x:c>
      <x:c r="B28" s="38" t="str">
        <x:v>KRI-APP-004</x:v>
      </x:c>
      <x:c r="C28" s="42" t="n">
        <x:v>46262</x:v>
      </x:c>
      <x:c r="D28" s="38" t="str">
        <x:v>Aug 2026</x:v>
      </x:c>
      <x:c r="E28" s="38" t="n">
        <x:v>2</x:v>
      </x:c>
      <x:c r="F28" s="38" t="str">
        <x:v>Count</x:v>
      </x:c>
      <x:c r="G28" s="38" t="str">
        <x:v>Warning</x:v>
      </x:c>
      <x:c r="H28" s="38" t="str">
        <x:v>Mona</x:v>
      </x:c>
      <x:c r="I28" s="38" t="str">
        <x:v>API</x:v>
      </x:c>
      <x:c r="J28" s="38" t="str">
        <x:v>MEAS-EVD-004-6</x:v>
      </x:c>
      <x:c r="K28" s="38" t="str">
        <x:v>Synthetic historical measurement.</x:v>
      </x:c>
    </x:row>
    <x:row r="29">
      <x:c r="A29" s="38" t="str">
        <x:v>MEAS-APP-005-1</x:v>
      </x:c>
      <x:c r="B29" s="38" t="str">
        <x:v>KRI-APP-005</x:v>
      </x:c>
      <x:c r="C29" s="42" t="n">
        <x:v>46112</x:v>
      </x:c>
      <x:c r="D29" s="38" t="str">
        <x:v>Mar 2026</x:v>
      </x:c>
      <x:c r="E29" s="38" t="n">
        <x:v>4</x:v>
      </x:c>
      <x:c r="F29" s="38" t="str">
        <x:v>Count</x:v>
      </x:c>
      <x:c r="G29" s="38" t="str">
        <x:v>On Target</x:v>
      </x:c>
      <x:c r="H29" s="38" t="str">
        <x:v>Hanan</x:v>
      </x:c>
      <x:c r="I29" s="38" t="str">
        <x:v>SIEM</x:v>
      </x:c>
      <x:c r="J29" s="38" t="str">
        <x:v>MEAS-EVD-005-1</x:v>
      </x:c>
      <x:c r="K29" s="38" t="str">
        <x:v>Synthetic historical measurement.</x:v>
      </x:c>
    </x:row>
    <x:row r="30">
      <x:c r="A30" s="38" t="str">
        <x:v>MEAS-APP-005-2</x:v>
      </x:c>
      <x:c r="B30" s="38" t="str">
        <x:v>KRI-APP-005</x:v>
      </x:c>
      <x:c r="C30" s="42" t="n">
        <x:v>46142</x:v>
      </x:c>
      <x:c r="D30" s="38" t="str">
        <x:v>Apr 2026</x:v>
      </x:c>
      <x:c r="E30" s="38" t="n">
        <x:v>3</x:v>
      </x:c>
      <x:c r="F30" s="38" t="str">
        <x:v>Count</x:v>
      </x:c>
      <x:c r="G30" s="38" t="str">
        <x:v>On Target</x:v>
      </x:c>
      <x:c r="H30" s="38" t="str">
        <x:v>Hanan</x:v>
      </x:c>
      <x:c r="I30" s="38" t="str">
        <x:v>SIEM</x:v>
      </x:c>
      <x:c r="J30" s="38" t="str">
        <x:v>MEAS-EVD-005-2</x:v>
      </x:c>
      <x:c r="K30" s="38" t="str">
        <x:v>Synthetic historical measurement.</x:v>
      </x:c>
    </x:row>
    <x:row r="31">
      <x:c r="A31" s="38" t="str">
        <x:v>MEAS-APP-005-3</x:v>
      </x:c>
      <x:c r="B31" s="38" t="str">
        <x:v>KRI-APP-005</x:v>
      </x:c>
      <x:c r="C31" s="42" t="n">
        <x:v>46172</x:v>
      </x:c>
      <x:c r="D31" s="38" t="str">
        <x:v>May 2026</x:v>
      </x:c>
      <x:c r="E31" s="38" t="n">
        <x:v>2</x:v>
      </x:c>
      <x:c r="F31" s="38" t="str">
        <x:v>Count</x:v>
      </x:c>
      <x:c r="G31" s="38" t="str">
        <x:v>On Target</x:v>
      </x:c>
      <x:c r="H31" s="38" t="str">
        <x:v>Hanan</x:v>
      </x:c>
      <x:c r="I31" s="38" t="str">
        <x:v>SIEM</x:v>
      </x:c>
      <x:c r="J31" s="38" t="str">
        <x:v>MEAS-EVD-005-3</x:v>
      </x:c>
      <x:c r="K31" s="38" t="str">
        <x:v>Synthetic historical measurement.</x:v>
      </x:c>
    </x:row>
    <x:row r="32">
      <x:c r="A32" s="38" t="str">
        <x:v>MEAS-APP-005-4</x:v>
      </x:c>
      <x:c r="B32" s="38" t="str">
        <x:v>KRI-APP-005</x:v>
      </x:c>
      <x:c r="C32" s="42" t="n">
        <x:v>46202</x:v>
      </x:c>
      <x:c r="D32" s="38" t="str">
        <x:v>Jun 2026</x:v>
      </x:c>
      <x:c r="E32" s="38" t="n">
        <x:v>1</x:v>
      </x:c>
      <x:c r="F32" s="38" t="str">
        <x:v>Count</x:v>
      </x:c>
      <x:c r="G32" s="38" t="str">
        <x:v>On Target</x:v>
      </x:c>
      <x:c r="H32" s="38" t="str">
        <x:v>Hanan</x:v>
      </x:c>
      <x:c r="I32" s="38" t="str">
        <x:v>SIEM</x:v>
      </x:c>
      <x:c r="J32" s="38" t="str">
        <x:v>MEAS-EVD-005-4</x:v>
      </x:c>
      <x:c r="K32" s="38" t="str">
        <x:v>Synthetic historical measurement.</x:v>
      </x:c>
    </x:row>
    <x:row r="33">
      <x:c r="A33" s="38" t="str">
        <x:v>MEAS-APP-005-5</x:v>
      </x:c>
      <x:c r="B33" s="38" t="str">
        <x:v>KRI-APP-005</x:v>
      </x:c>
      <x:c r="C33" s="42" t="n">
        <x:v>46232</x:v>
      </x:c>
      <x:c r="D33" s="38" t="str">
        <x:v>Jul 2026</x:v>
      </x:c>
      <x:c r="E33" s="38" t="n">
        <x:v>0</x:v>
      </x:c>
      <x:c r="F33" s="38" t="str">
        <x:v>Count</x:v>
      </x:c>
      <x:c r="G33" s="38" t="str">
        <x:v>On Target</x:v>
      </x:c>
      <x:c r="H33" s="38" t="str">
        <x:v>Hanan</x:v>
      </x:c>
      <x:c r="I33" s="38" t="str">
        <x:v>SIEM</x:v>
      </x:c>
      <x:c r="J33" s="38" t="str">
        <x:v>MEAS-EVD-005-5</x:v>
      </x:c>
      <x:c r="K33" s="38" t="str">
        <x:v>Synthetic historical measurement.</x:v>
      </x:c>
    </x:row>
    <x:row r="34">
      <x:c r="A34" s="38" t="str">
        <x:v>MEAS-APP-005-6</x:v>
      </x:c>
      <x:c r="B34" s="38" t="str">
        <x:v>KRI-APP-005</x:v>
      </x:c>
      <x:c r="C34" s="42" t="n">
        <x:v>46262</x:v>
      </x:c>
      <x:c r="D34" s="38" t="str">
        <x:v>Aug 2026</x:v>
      </x:c>
      <x:c r="E34" s="38" t="n">
        <x:v>0</x:v>
      </x:c>
      <x:c r="F34" s="38" t="str">
        <x:v>Count</x:v>
      </x:c>
      <x:c r="G34" s="38" t="str">
        <x:v>On Target</x:v>
      </x:c>
      <x:c r="H34" s="38" t="str">
        <x:v>Hanan</x:v>
      </x:c>
      <x:c r="I34" s="38" t="str">
        <x:v>SIEM</x:v>
      </x:c>
      <x:c r="J34" s="38" t="str">
        <x:v>MEAS-EVD-005-6</x:v>
      </x:c>
      <x:c r="K34" s="38" t="str">
        <x:v>Synthetic historical measurement.</x:v>
      </x:c>
    </x:row>
    <x:row r="35">
      <x:c r="A35" s="38" t="str">
        <x:v>MEAS-APP-006-1</x:v>
      </x:c>
      <x:c r="B35" s="38" t="str">
        <x:v>KRI-APP-006</x:v>
      </x:c>
      <x:c r="C35" s="42" t="n">
        <x:v>46112</x:v>
      </x:c>
      <x:c r="D35" s="38" t="str">
        <x:v>Mar 2026</x:v>
      </x:c>
      <x:c r="E35" s="38" t="n">
        <x:v>8</x:v>
      </x:c>
      <x:c r="F35" s="38" t="str">
        <x:v>%</x:v>
      </x:c>
      <x:c r="G35" s="38" t="str">
        <x:v>Warning</x:v>
      </x:c>
      <x:c r="H35" s="38" t="str">
        <x:v>Faisal</x:v>
      </x:c>
      <x:c r="I35" s="38" t="str">
        <x:v>Manual Entry</x:v>
      </x:c>
      <x:c r="J35" s="38" t="str">
        <x:v>MEAS-EVD-006-1</x:v>
      </x:c>
      <x:c r="K35" s="38" t="str">
        <x:v>Synthetic historical measurement.</x:v>
      </x:c>
    </x:row>
    <x:row r="36">
      <x:c r="A36" s="38" t="str">
        <x:v>MEAS-APP-006-2</x:v>
      </x:c>
      <x:c r="B36" s="38" t="str">
        <x:v>KRI-APP-006</x:v>
      </x:c>
      <x:c r="C36" s="42" t="n">
        <x:v>46142</x:v>
      </x:c>
      <x:c r="D36" s="38" t="str">
        <x:v>Apr 2026</x:v>
      </x:c>
      <x:c r="E36" s="38" t="n">
        <x:v>9</x:v>
      </x:c>
      <x:c r="F36" s="38" t="str">
        <x:v>%</x:v>
      </x:c>
      <x:c r="G36" s="38" t="str">
        <x:v>Warning</x:v>
      </x:c>
      <x:c r="H36" s="38" t="str">
        <x:v>Faisal</x:v>
      </x:c>
      <x:c r="I36" s="38" t="str">
        <x:v>Manual Entry</x:v>
      </x:c>
      <x:c r="J36" s="38" t="str">
        <x:v>MEAS-EVD-006-2</x:v>
      </x:c>
      <x:c r="K36" s="38" t="str">
        <x:v>Synthetic historical measurement.</x:v>
      </x:c>
    </x:row>
    <x:row r="37">
      <x:c r="A37" s="38" t="str">
        <x:v>MEAS-APP-006-3</x:v>
      </x:c>
      <x:c r="B37" s="38" t="str">
        <x:v>KRI-APP-006</x:v>
      </x:c>
      <x:c r="C37" s="42" t="n">
        <x:v>46172</x:v>
      </x:c>
      <x:c r="D37" s="38" t="str">
        <x:v>May 2026</x:v>
      </x:c>
      <x:c r="E37" s="38" t="n">
        <x:v>10</x:v>
      </x:c>
      <x:c r="F37" s="38" t="str">
        <x:v>%</x:v>
      </x:c>
      <x:c r="G37" s="38" t="str">
        <x:v>Critical</x:v>
      </x:c>
      <x:c r="H37" s="38" t="str">
        <x:v>Faisal</x:v>
      </x:c>
      <x:c r="I37" s="38" t="str">
        <x:v>Manual Entry</x:v>
      </x:c>
      <x:c r="J37" s="38" t="str">
        <x:v>MEAS-EVD-006-3</x:v>
      </x:c>
      <x:c r="K37" s="38" t="str">
        <x:v>Synthetic historical measurement.</x:v>
      </x:c>
    </x:row>
    <x:row r="38">
      <x:c r="A38" s="38" t="str">
        <x:v>MEAS-APP-006-4</x:v>
      </x:c>
      <x:c r="B38" s="38" t="str">
        <x:v>KRI-APP-006</x:v>
      </x:c>
      <x:c r="C38" s="42" t="n">
        <x:v>46202</x:v>
      </x:c>
      <x:c r="D38" s="38" t="str">
        <x:v>Jun 2026</x:v>
      </x:c>
      <x:c r="E38" s="38" t="n">
        <x:v>11</x:v>
      </x:c>
      <x:c r="F38" s="38" t="str">
        <x:v>%</x:v>
      </x:c>
      <x:c r="G38" s="38" t="str">
        <x:v>Critical</x:v>
      </x:c>
      <x:c r="H38" s="38" t="str">
        <x:v>Faisal</x:v>
      </x:c>
      <x:c r="I38" s="38" t="str">
        <x:v>Manual Entry</x:v>
      </x:c>
      <x:c r="J38" s="38" t="str">
        <x:v>MEAS-EVD-006-4</x:v>
      </x:c>
      <x:c r="K38" s="38" t="str">
        <x:v>Synthetic historical measurement.</x:v>
      </x:c>
    </x:row>
    <x:row r="39">
      <x:c r="A39" s="38" t="str">
        <x:v>MEAS-APP-006-5</x:v>
      </x:c>
      <x:c r="B39" s="38" t="str">
        <x:v>KRI-APP-006</x:v>
      </x:c>
      <x:c r="C39" s="42" t="n">
        <x:v>46232</x:v>
      </x:c>
      <x:c r="D39" s="38" t="str">
        <x:v>Jul 2026</x:v>
      </x:c>
      <x:c r="E39" s="38" t="n">
        <x:v>12</x:v>
      </x:c>
      <x:c r="F39" s="38" t="str">
        <x:v>%</x:v>
      </x:c>
      <x:c r="G39" s="38" t="str">
        <x:v>Critical</x:v>
      </x:c>
      <x:c r="H39" s="38" t="str">
        <x:v>Faisal</x:v>
      </x:c>
      <x:c r="I39" s="38" t="str">
        <x:v>Manual Entry</x:v>
      </x:c>
      <x:c r="J39" s="38" t="str">
        <x:v>MEAS-EVD-006-5</x:v>
      </x:c>
      <x:c r="K39" s="38" t="str">
        <x:v>Synthetic historical measurement.</x:v>
      </x:c>
    </x:row>
    <x:row r="40">
      <x:c r="A40" s="38" t="str">
        <x:v>MEAS-APP-006-6</x:v>
      </x:c>
      <x:c r="B40" s="38" t="str">
        <x:v>KRI-APP-006</x:v>
      </x:c>
      <x:c r="C40" s="42" t="n">
        <x:v>46262</x:v>
      </x:c>
      <x:c r="D40" s="38" t="str">
        <x:v>Aug 2026</x:v>
      </x:c>
      <x:c r="E40" s="38" t="n">
        <x:v>13</x:v>
      </x:c>
      <x:c r="F40" s="38" t="str">
        <x:v>%</x:v>
      </x:c>
      <x:c r="G40" s="38" t="str">
        <x:v>Critical</x:v>
      </x:c>
      <x:c r="H40" s="38" t="str">
        <x:v>Faisal</x:v>
      </x:c>
      <x:c r="I40" s="38" t="str">
        <x:v>Manual Entry</x:v>
      </x:c>
      <x:c r="J40" s="38" t="str">
        <x:v>MEAS-EVD-006-6</x:v>
      </x:c>
      <x:c r="K40" s="38" t="str">
        <x:v>Synthetic historical measurement.</x:v>
      </x:c>
    </x:row>
    <x:row r="41">
      <x:c r="A41" s="38" t="str">
        <x:v>MEAS-APP-007-1</x:v>
      </x:c>
      <x:c r="B41" s="38" t="str">
        <x:v>KRI-APP-007</x:v>
      </x:c>
      <x:c r="C41" s="42" t="n">
        <x:v>46112</x:v>
      </x:c>
      <x:c r="D41" s="38" t="str">
        <x:v>Mar 2026</x:v>
      </x:c>
      <x:c r="E41" s="38" t="n">
        <x:v>9</x:v>
      </x:c>
      <x:c r="F41" s="38" t="str">
        <x:v>Count</x:v>
      </x:c>
      <x:c r="G41" s="38" t="str">
        <x:v>On Target</x:v>
      </x:c>
      <x:c r="H41" s="38" t="str">
        <x:v>Nadia</x:v>
      </x:c>
      <x:c r="I41" s="38" t="str">
        <x:v>Excel Import</x:v>
      </x:c>
      <x:c r="J41" s="38" t="str">
        <x:v>MEAS-EVD-007-1</x:v>
      </x:c>
      <x:c r="K41" s="38" t="str">
        <x:v>Synthetic historical measurement.</x:v>
      </x:c>
    </x:row>
    <x:row r="42">
      <x:c r="A42" s="38" t="str">
        <x:v>MEAS-APP-007-2</x:v>
      </x:c>
      <x:c r="B42" s="38" t="str">
        <x:v>KRI-APP-007</x:v>
      </x:c>
      <x:c r="C42" s="42" t="n">
        <x:v>46142</x:v>
      </x:c>
      <x:c r="D42" s="38" t="str">
        <x:v>Apr 2026</x:v>
      </x:c>
      <x:c r="E42" s="38" t="n">
        <x:v>8</x:v>
      </x:c>
      <x:c r="F42" s="38" t="str">
        <x:v>Count</x:v>
      </x:c>
      <x:c r="G42" s="38" t="str">
        <x:v>On Target</x:v>
      </x:c>
      <x:c r="H42" s="38" t="str">
        <x:v>Nadia</x:v>
      </x:c>
      <x:c r="I42" s="38" t="str">
        <x:v>Excel Import</x:v>
      </x:c>
      <x:c r="J42" s="38" t="str">
        <x:v>MEAS-EVD-007-2</x:v>
      </x:c>
      <x:c r="K42" s="38" t="str">
        <x:v>Synthetic historical measurement.</x:v>
      </x:c>
    </x:row>
    <x:row r="43">
      <x:c r="A43" s="38" t="str">
        <x:v>MEAS-APP-007-3</x:v>
      </x:c>
      <x:c r="B43" s="38" t="str">
        <x:v>KRI-APP-007</x:v>
      </x:c>
      <x:c r="C43" s="42" t="n">
        <x:v>46172</x:v>
      </x:c>
      <x:c r="D43" s="38" t="str">
        <x:v>May 2026</x:v>
      </x:c>
      <x:c r="E43" s="38" t="n">
        <x:v>7</x:v>
      </x:c>
      <x:c r="F43" s="38" t="str">
        <x:v>Count</x:v>
      </x:c>
      <x:c r="G43" s="38" t="str">
        <x:v>On Target</x:v>
      </x:c>
      <x:c r="H43" s="38" t="str">
        <x:v>Nadia</x:v>
      </x:c>
      <x:c r="I43" s="38" t="str">
        <x:v>Excel Import</x:v>
      </x:c>
      <x:c r="J43" s="38" t="str">
        <x:v>MEAS-EVD-007-3</x:v>
      </x:c>
      <x:c r="K43" s="38" t="str">
        <x:v>Synthetic historical measurement.</x:v>
      </x:c>
    </x:row>
    <x:row r="44">
      <x:c r="A44" s="38" t="str">
        <x:v>MEAS-APP-007-4</x:v>
      </x:c>
      <x:c r="B44" s="38" t="str">
        <x:v>KRI-APP-007</x:v>
      </x:c>
      <x:c r="C44" s="42" t="n">
        <x:v>46202</x:v>
      </x:c>
      <x:c r="D44" s="38" t="str">
        <x:v>Jun 2026</x:v>
      </x:c>
      <x:c r="E44" s="38" t="n">
        <x:v>6</x:v>
      </x:c>
      <x:c r="F44" s="38" t="str">
        <x:v>Count</x:v>
      </x:c>
      <x:c r="G44" s="38" t="str">
        <x:v>On Target</x:v>
      </x:c>
      <x:c r="H44" s="38" t="str">
        <x:v>Nadia</x:v>
      </x:c>
      <x:c r="I44" s="38" t="str">
        <x:v>Excel Import</x:v>
      </x:c>
      <x:c r="J44" s="38" t="str">
        <x:v>MEAS-EVD-007-4</x:v>
      </x:c>
      <x:c r="K44" s="38" t="str">
        <x:v>Synthetic historical measurement.</x:v>
      </x:c>
    </x:row>
    <x:row r="45">
      <x:c r="A45" s="38" t="str">
        <x:v>MEAS-APP-007-5</x:v>
      </x:c>
      <x:c r="B45" s="38" t="str">
        <x:v>KRI-APP-007</x:v>
      </x:c>
      <x:c r="C45" s="42" t="n">
        <x:v>46232</x:v>
      </x:c>
      <x:c r="D45" s="38" t="str">
        <x:v>Jul 2026</x:v>
      </x:c>
      <x:c r="E45" s="38" t="n">
        <x:v>5</x:v>
      </x:c>
      <x:c r="F45" s="38" t="str">
        <x:v>Count</x:v>
      </x:c>
      <x:c r="G45" s="38" t="str">
        <x:v>On Target</x:v>
      </x:c>
      <x:c r="H45" s="38" t="str">
        <x:v>Nadia</x:v>
      </x:c>
      <x:c r="I45" s="38" t="str">
        <x:v>Excel Import</x:v>
      </x:c>
      <x:c r="J45" s="38" t="str">
        <x:v>MEAS-EVD-007-5</x:v>
      </x:c>
      <x:c r="K45" s="38" t="str">
        <x:v>Synthetic historical measurement.</x:v>
      </x:c>
    </x:row>
    <x:row r="46">
      <x:c r="A46" s="38" t="str">
        <x:v>MEAS-APP-007-6</x:v>
      </x:c>
      <x:c r="B46" s="38" t="str">
        <x:v>KRI-APP-007</x:v>
      </x:c>
      <x:c r="C46" s="42" t="n">
        <x:v>46262</x:v>
      </x:c>
      <x:c r="D46" s="38" t="str">
        <x:v>Aug 2026</x:v>
      </x:c>
      <x:c r="E46" s="38" t="n">
        <x:v>4</x:v>
      </x:c>
      <x:c r="F46" s="38" t="str">
        <x:v>Count</x:v>
      </x:c>
      <x:c r="G46" s="38" t="str">
        <x:v>On Target</x:v>
      </x:c>
      <x:c r="H46" s="38" t="str">
        <x:v>Nadia</x:v>
      </x:c>
      <x:c r="I46" s="38" t="str">
        <x:v>Excel Import</x:v>
      </x:c>
      <x:c r="J46" s="38" t="str">
        <x:v>MEAS-EVD-007-6</x:v>
      </x:c>
      <x:c r="K46" s="38" t="str">
        <x:v>Synthetic historical measurement.</x:v>
      </x:c>
    </x:row>
    <x:row r="47">
      <x:c r="A47" s="38" t="str">
        <x:v>MEAS-APP-008-1</x:v>
      </x:c>
      <x:c r="B47" s="38" t="str">
        <x:v>KRI-APP-008</x:v>
      </x:c>
      <x:c r="C47" s="42" t="n">
        <x:v>46112</x:v>
      </x:c>
      <x:c r="D47" s="38" t="str">
        <x:v>Mar 2026</x:v>
      </x:c>
      <x:c r="E47" s="38" t="n">
        <x:v>0</x:v>
      </x:c>
      <x:c r="F47" s="38" t="str">
        <x:v>Count</x:v>
      </x:c>
      <x:c r="G47" s="38" t="str">
        <x:v>On Target</x:v>
      </x:c>
      <x:c r="H47" s="38" t="str">
        <x:v>Saud</x:v>
      </x:c>
      <x:c r="I47" s="38" t="str">
        <x:v>API</x:v>
      </x:c>
      <x:c r="J47" s="38" t="str">
        <x:v>MEAS-EVD-008-1</x:v>
      </x:c>
      <x:c r="K47" s="38" t="str">
        <x:v>Synthetic historical measurement.</x:v>
      </x:c>
    </x:row>
    <x:row r="48">
      <x:c r="A48" s="38" t="str">
        <x:v>MEAS-APP-008-2</x:v>
      </x:c>
      <x:c r="B48" s="38" t="str">
        <x:v>KRI-APP-008</x:v>
      </x:c>
      <x:c r="C48" s="42" t="n">
        <x:v>46142</x:v>
      </x:c>
      <x:c r="D48" s="38" t="str">
        <x:v>Apr 2026</x:v>
      </x:c>
      <x:c r="E48" s="38" t="n">
        <x:v>0</x:v>
      </x:c>
      <x:c r="F48" s="38" t="str">
        <x:v>Count</x:v>
      </x:c>
      <x:c r="G48" s="38" t="str">
        <x:v>On Target</x:v>
      </x:c>
      <x:c r="H48" s="38" t="str">
        <x:v>Saud</x:v>
      </x:c>
      <x:c r="I48" s="38" t="str">
        <x:v>API</x:v>
      </x:c>
      <x:c r="J48" s="38" t="str">
        <x:v>MEAS-EVD-008-2</x:v>
      </x:c>
      <x:c r="K48" s="38" t="str">
        <x:v>Synthetic historical measurement.</x:v>
      </x:c>
    </x:row>
    <x:row r="49">
      <x:c r="A49" s="38" t="str">
        <x:v>MEAS-APP-008-3</x:v>
      </x:c>
      <x:c r="B49" s="38" t="str">
        <x:v>KRI-APP-008</x:v>
      </x:c>
      <x:c r="C49" s="42" t="n">
        <x:v>46172</x:v>
      </x:c>
      <x:c r="D49" s="38" t="str">
        <x:v>May 2026</x:v>
      </x:c>
      <x:c r="E49" s="38" t="n">
        <x:v>0</x:v>
      </x:c>
      <x:c r="F49" s="38" t="str">
        <x:v>Count</x:v>
      </x:c>
      <x:c r="G49" s="38" t="str">
        <x:v>On Target</x:v>
      </x:c>
      <x:c r="H49" s="38" t="str">
        <x:v>Saud</x:v>
      </x:c>
      <x:c r="I49" s="38" t="str">
        <x:v>API</x:v>
      </x:c>
      <x:c r="J49" s="38" t="str">
        <x:v>MEAS-EVD-008-3</x:v>
      </x:c>
      <x:c r="K49" s="38" t="str">
        <x:v>Synthetic historical measurement.</x:v>
      </x:c>
    </x:row>
    <x:row r="50">
      <x:c r="A50" s="38" t="str">
        <x:v>MEAS-APP-008-4</x:v>
      </x:c>
      <x:c r="B50" s="38" t="str">
        <x:v>KRI-APP-008</x:v>
      </x:c>
      <x:c r="C50" s="42" t="n">
        <x:v>46202</x:v>
      </x:c>
      <x:c r="D50" s="38" t="str">
        <x:v>Jun 2026</x:v>
      </x:c>
      <x:c r="E50" s="38" t="n">
        <x:v>0</x:v>
      </x:c>
      <x:c r="F50" s="38" t="str">
        <x:v>Count</x:v>
      </x:c>
      <x:c r="G50" s="38" t="str">
        <x:v>On Target</x:v>
      </x:c>
      <x:c r="H50" s="38" t="str">
        <x:v>Saud</x:v>
      </x:c>
      <x:c r="I50" s="38" t="str">
        <x:v>API</x:v>
      </x:c>
      <x:c r="J50" s="38" t="str">
        <x:v>MEAS-EVD-008-4</x:v>
      </x:c>
      <x:c r="K50" s="38" t="str">
        <x:v>Synthetic historical measurement.</x:v>
      </x:c>
    </x:row>
    <x:row r="51">
      <x:c r="A51" s="38" t="str">
        <x:v>MEAS-APP-008-5</x:v>
      </x:c>
      <x:c r="B51" s="38" t="str">
        <x:v>KRI-APP-008</x:v>
      </x:c>
      <x:c r="C51" s="42" t="n">
        <x:v>46232</x:v>
      </x:c>
      <x:c r="D51" s="38" t="str">
        <x:v>Jul 2026</x:v>
      </x:c>
      <x:c r="E51" s="38" t="n">
        <x:v>1</x:v>
      </x:c>
      <x:c r="F51" s="38" t="str">
        <x:v>Count</x:v>
      </x:c>
      <x:c r="G51" s="38" t="str">
        <x:v>Warning</x:v>
      </x:c>
      <x:c r="H51" s="38" t="str">
        <x:v>Saud</x:v>
      </x:c>
      <x:c r="I51" s="38" t="str">
        <x:v>API</x:v>
      </x:c>
      <x:c r="J51" s="38" t="str">
        <x:v>MEAS-EVD-008-5</x:v>
      </x:c>
      <x:c r="K51" s="38" t="str">
        <x:v>Synthetic historical measurement.</x:v>
      </x:c>
    </x:row>
    <x:row r="52">
      <x:c r="A52" s="38" t="str">
        <x:v>MEAS-APP-008-6</x:v>
      </x:c>
      <x:c r="B52" s="38" t="str">
        <x:v>KRI-APP-008</x:v>
      </x:c>
      <x:c r="C52" s="42" t="n">
        <x:v>46262</x:v>
      </x:c>
      <x:c r="D52" s="38" t="str">
        <x:v>Aug 2026</x:v>
      </x:c>
      <x:c r="E52" s="38" t="n">
        <x:v>2</x:v>
      </x:c>
      <x:c r="F52" s="38" t="str">
        <x:v>Count</x:v>
      </x:c>
      <x:c r="G52" s="38" t="str">
        <x:v>Warning</x:v>
      </x:c>
      <x:c r="H52" s="38" t="str">
        <x:v>Saud</x:v>
      </x:c>
      <x:c r="I52" s="38" t="str">
        <x:v>API</x:v>
      </x:c>
      <x:c r="J52" s="38" t="str">
        <x:v>MEAS-EVD-008-6</x:v>
      </x:c>
      <x:c r="K52" s="38" t="str">
        <x:v>Synthetic historical measurement.</x:v>
      </x:c>
    </x:row>
    <x:row r="53">
      <x:c r="A53" s="38" t="str">
        <x:v>MEAS-APP-009-1</x:v>
      </x:c>
      <x:c r="B53" s="38" t="str">
        <x:v>KRI-APP-009</x:v>
      </x:c>
      <x:c r="C53" s="42" t="n">
        <x:v>46112</x:v>
      </x:c>
      <x:c r="D53" s="38" t="str">
        <x:v>Mar 2026</x:v>
      </x:c>
      <x:c r="E53" s="38" t="n">
        <x:v>95</x:v>
      </x:c>
      <x:c r="F53" s="38" t="str">
        <x:v>%</x:v>
      </x:c>
      <x:c r="G53" s="38" t="str">
        <x:v>On Target</x:v>
      </x:c>
      <x:c r="H53" s="38" t="str">
        <x:v>Lama</x:v>
      </x:c>
      <x:c r="I53" s="38" t="str">
        <x:v>SIEM</x:v>
      </x:c>
      <x:c r="J53" s="38" t="str">
        <x:v>MEAS-EVD-009-1</x:v>
      </x:c>
      <x:c r="K53" s="38" t="str">
        <x:v>Synthetic historical measurement.</x:v>
      </x:c>
    </x:row>
    <x:row r="54">
      <x:c r="A54" s="38" t="str">
        <x:v>MEAS-APP-009-2</x:v>
      </x:c>
      <x:c r="B54" s="38" t="str">
        <x:v>KRI-APP-009</x:v>
      </x:c>
      <x:c r="C54" s="42" t="n">
        <x:v>46142</x:v>
      </x:c>
      <x:c r="D54" s="38" t="str">
        <x:v>Apr 2026</x:v>
      </x:c>
      <x:c r="E54" s="38" t="n">
        <x:v>94</x:v>
      </x:c>
      <x:c r="F54" s="38" t="str">
        <x:v>%</x:v>
      </x:c>
      <x:c r="G54" s="38" t="str">
        <x:v>Warning</x:v>
      </x:c>
      <x:c r="H54" s="38" t="str">
        <x:v>Lama</x:v>
      </x:c>
      <x:c r="I54" s="38" t="str">
        <x:v>SIEM</x:v>
      </x:c>
      <x:c r="J54" s="38" t="str">
        <x:v>MEAS-EVD-009-2</x:v>
      </x:c>
      <x:c r="K54" s="38" t="str">
        <x:v>Synthetic historical measurement.</x:v>
      </x:c>
    </x:row>
    <x:row r="55">
      <x:c r="A55" s="38" t="str">
        <x:v>MEAS-APP-009-3</x:v>
      </x:c>
      <x:c r="B55" s="38" t="str">
        <x:v>KRI-APP-009</x:v>
      </x:c>
      <x:c r="C55" s="42" t="n">
        <x:v>46172</x:v>
      </x:c>
      <x:c r="D55" s="38" t="str">
        <x:v>May 2026</x:v>
      </x:c>
      <x:c r="E55" s="38" t="n">
        <x:v>93</x:v>
      </x:c>
      <x:c r="F55" s="38" t="str">
        <x:v>%</x:v>
      </x:c>
      <x:c r="G55" s="38" t="str">
        <x:v>Warning</x:v>
      </x:c>
      <x:c r="H55" s="38" t="str">
        <x:v>Lama</x:v>
      </x:c>
      <x:c r="I55" s="38" t="str">
        <x:v>SIEM</x:v>
      </x:c>
      <x:c r="J55" s="38" t="str">
        <x:v>MEAS-EVD-009-3</x:v>
      </x:c>
      <x:c r="K55" s="38" t="str">
        <x:v>Synthetic historical measurement.</x:v>
      </x:c>
    </x:row>
    <x:row r="56">
      <x:c r="A56" s="38" t="str">
        <x:v>MEAS-APP-009-4</x:v>
      </x:c>
      <x:c r="B56" s="38" t="str">
        <x:v>KRI-APP-009</x:v>
      </x:c>
      <x:c r="C56" s="42" t="n">
        <x:v>46202</x:v>
      </x:c>
      <x:c r="D56" s="38" t="str">
        <x:v>Jun 2026</x:v>
      </x:c>
      <x:c r="E56" s="38" t="n">
        <x:v>92</x:v>
      </x:c>
      <x:c r="F56" s="38" t="str">
        <x:v>%</x:v>
      </x:c>
      <x:c r="G56" s="38" t="str">
        <x:v>Warning</x:v>
      </x:c>
      <x:c r="H56" s="38" t="str">
        <x:v>Lama</x:v>
      </x:c>
      <x:c r="I56" s="38" t="str">
        <x:v>SIEM</x:v>
      </x:c>
      <x:c r="J56" s="38" t="str">
        <x:v>MEAS-EVD-009-4</x:v>
      </x:c>
      <x:c r="K56" s="38" t="str">
        <x:v>Synthetic historical measurement.</x:v>
      </x:c>
    </x:row>
    <x:row r="57">
      <x:c r="A57" s="38" t="str">
        <x:v>MEAS-APP-009-5</x:v>
      </x:c>
      <x:c r="B57" s="38" t="str">
        <x:v>KRI-APP-009</x:v>
      </x:c>
      <x:c r="C57" s="42" t="n">
        <x:v>46232</x:v>
      </x:c>
      <x:c r="D57" s="38" t="str">
        <x:v>Jul 2026</x:v>
      </x:c>
      <x:c r="E57" s="38" t="n">
        <x:v>91</x:v>
      </x:c>
      <x:c r="F57" s="38" t="str">
        <x:v>%</x:v>
      </x:c>
      <x:c r="G57" s="38" t="str">
        <x:v>Warning</x:v>
      </x:c>
      <x:c r="H57" s="38" t="str">
        <x:v>Lama</x:v>
      </x:c>
      <x:c r="I57" s="38" t="str">
        <x:v>SIEM</x:v>
      </x:c>
      <x:c r="J57" s="38" t="str">
        <x:v>MEAS-EVD-009-5</x:v>
      </x:c>
      <x:c r="K57" s="38" t="str">
        <x:v>Synthetic historical measurement.</x:v>
      </x:c>
    </x:row>
    <x:row r="58">
      <x:c r="A58" s="38" t="str">
        <x:v>MEAS-APP-009-6</x:v>
      </x:c>
      <x:c r="B58" s="38" t="str">
        <x:v>KRI-APP-009</x:v>
      </x:c>
      <x:c r="C58" s="42" t="n">
        <x:v>46262</x:v>
      </x:c>
      <x:c r="D58" s="38" t="str">
        <x:v>Aug 2026</x:v>
      </x:c>
      <x:c r="E58" s="38" t="n">
        <x:v>90</x:v>
      </x:c>
      <x:c r="F58" s="38" t="str">
        <x:v>%</x:v>
      </x:c>
      <x:c r="G58" s="38" t="str">
        <x:v>Warning</x:v>
      </x:c>
      <x:c r="H58" s="38" t="str">
        <x:v>Lama</x:v>
      </x:c>
      <x:c r="I58" s="38" t="str">
        <x:v>SIEM</x:v>
      </x:c>
      <x:c r="J58" s="38" t="str">
        <x:v>MEAS-EVD-009-6</x:v>
      </x:c>
      <x:c r="K58" s="38" t="str">
        <x:v>Synthetic historical measurement.</x:v>
      </x:c>
    </x:row>
    <x:row r="59">
      <x:c r="A59" s="38" t="str">
        <x:v>MEAS-APP-010-1</x:v>
      </x:c>
      <x:c r="B59" s="38" t="str">
        <x:v>KRI-APP-010</x:v>
      </x:c>
      <x:c r="C59" s="42" t="n">
        <x:v>46112</x:v>
      </x:c>
      <x:c r="D59" s="38" t="str">
        <x:v>Mar 2026</x:v>
      </x:c>
      <x:c r="E59" s="38" t="n">
        <x:v>0</x:v>
      </x:c>
      <x:c r="F59" s="38" t="str">
        <x:v>Count</x:v>
      </x:c>
      <x:c r="G59" s="38" t="str">
        <x:v>On Target</x:v>
      </x:c>
      <x:c r="H59" s="38" t="str">
        <x:v>Kareem</x:v>
      </x:c>
      <x:c r="I59" s="38" t="str">
        <x:v>Manual Entry</x:v>
      </x:c>
      <x:c r="J59" s="38" t="str">
        <x:v>MEAS-EVD-010-1</x:v>
      </x:c>
      <x:c r="K59" s="38" t="str">
        <x:v>Synthetic historical measurement.</x:v>
      </x:c>
    </x:row>
    <x:row r="60">
      <x:c r="A60" s="38" t="str">
        <x:v>MEAS-APP-010-2</x:v>
      </x:c>
      <x:c r="B60" s="38" t="str">
        <x:v>KRI-APP-010</x:v>
      </x:c>
      <x:c r="C60" s="42" t="n">
        <x:v>46142</x:v>
      </x:c>
      <x:c r="D60" s="38" t="str">
        <x:v>Apr 2026</x:v>
      </x:c>
      <x:c r="E60" s="38" t="n">
        <x:v>1</x:v>
      </x:c>
      <x:c r="F60" s="38" t="str">
        <x:v>Count</x:v>
      </x:c>
      <x:c r="G60" s="38" t="str">
        <x:v>Warning</x:v>
      </x:c>
      <x:c r="H60" s="38" t="str">
        <x:v>Kareem</x:v>
      </x:c>
      <x:c r="I60" s="38" t="str">
        <x:v>Manual Entry</x:v>
      </x:c>
      <x:c r="J60" s="38" t="str">
        <x:v>MEAS-EVD-010-2</x:v>
      </x:c>
      <x:c r="K60" s="38" t="str">
        <x:v>Synthetic historical measurement.</x:v>
      </x:c>
    </x:row>
    <x:row r="61">
      <x:c r="A61" s="38" t="str">
        <x:v>MEAS-APP-010-3</x:v>
      </x:c>
      <x:c r="B61" s="38" t="str">
        <x:v>KRI-APP-010</x:v>
      </x:c>
      <x:c r="C61" s="42" t="n">
        <x:v>46172</x:v>
      </x:c>
      <x:c r="D61" s="38" t="str">
        <x:v>May 2026</x:v>
      </x:c>
      <x:c r="E61" s="38" t="n">
        <x:v>2</x:v>
      </x:c>
      <x:c r="F61" s="38" t="str">
        <x:v>Count</x:v>
      </x:c>
      <x:c r="G61" s="38" t="str">
        <x:v>Warning</x:v>
      </x:c>
      <x:c r="H61" s="38" t="str">
        <x:v>Kareem</x:v>
      </x:c>
      <x:c r="I61" s="38" t="str">
        <x:v>Manual Entry</x:v>
      </x:c>
      <x:c r="J61" s="38" t="str">
        <x:v>MEAS-EVD-010-3</x:v>
      </x:c>
      <x:c r="K61" s="38" t="str">
        <x:v>Synthetic historical measurement.</x:v>
      </x:c>
    </x:row>
    <x:row r="62">
      <x:c r="A62" s="38" t="str">
        <x:v>MEAS-APP-010-4</x:v>
      </x:c>
      <x:c r="B62" s="38" t="str">
        <x:v>KRI-APP-010</x:v>
      </x:c>
      <x:c r="C62" s="42" t="n">
        <x:v>46202</x:v>
      </x:c>
      <x:c r="D62" s="38" t="str">
        <x:v>Jun 2026</x:v>
      </x:c>
      <x:c r="E62" s="38" t="n">
        <x:v>3</x:v>
      </x:c>
      <x:c r="F62" s="38" t="str">
        <x:v>Count</x:v>
      </x:c>
      <x:c r="G62" s="38" t="str">
        <x:v>Warning</x:v>
      </x:c>
      <x:c r="H62" s="38" t="str">
        <x:v>Kareem</x:v>
      </x:c>
      <x:c r="I62" s="38" t="str">
        <x:v>Manual Entry</x:v>
      </x:c>
      <x:c r="J62" s="38" t="str">
        <x:v>MEAS-EVD-010-4</x:v>
      </x:c>
      <x:c r="K62" s="38" t="str">
        <x:v>Synthetic historical measurement.</x:v>
      </x:c>
    </x:row>
    <x:row r="63">
      <x:c r="A63" s="38" t="str">
        <x:v>MEAS-APP-010-5</x:v>
      </x:c>
      <x:c r="B63" s="38" t="str">
        <x:v>KRI-APP-010</x:v>
      </x:c>
      <x:c r="C63" s="42" t="n">
        <x:v>46232</x:v>
      </x:c>
      <x:c r="D63" s="38" t="str">
        <x:v>Jul 2026</x:v>
      </x:c>
      <x:c r="E63" s="38" t="n">
        <x:v>4</x:v>
      </x:c>
      <x:c r="F63" s="38" t="str">
        <x:v>Count</x:v>
      </x:c>
      <x:c r="G63" s="38" t="str">
        <x:v>Warning</x:v>
      </x:c>
      <x:c r="H63" s="38" t="str">
        <x:v>Kareem</x:v>
      </x:c>
      <x:c r="I63" s="38" t="str">
        <x:v>Manual Entry</x:v>
      </x:c>
      <x:c r="J63" s="38" t="str">
        <x:v>MEAS-EVD-010-5</x:v>
      </x:c>
      <x:c r="K63" s="38" t="str">
        <x:v>Synthetic historical measurement.</x:v>
      </x:c>
    </x:row>
    <x:row r="64">
      <x:c r="A64" s="38" t="str">
        <x:v>MEAS-APP-010-6</x:v>
      </x:c>
      <x:c r="B64" s="38" t="str">
        <x:v>KRI-APP-010</x:v>
      </x:c>
      <x:c r="C64" s="42" t="n">
        <x:v>46262</x:v>
      </x:c>
      <x:c r="D64" s="38" t="str">
        <x:v>Aug 2026</x:v>
      </x:c>
      <x:c r="E64" s="38" t="n">
        <x:v>5</x:v>
      </x:c>
      <x:c r="F64" s="38" t="str">
        <x:v>Count</x:v>
      </x:c>
      <x:c r="G64" s="38" t="str">
        <x:v>Critical</x:v>
      </x:c>
      <x:c r="H64" s="38" t="str">
        <x:v>Kareem</x:v>
      </x:c>
      <x:c r="I64" s="38" t="str">
        <x:v>Manual Entry</x:v>
      </x:c>
      <x:c r="J64" s="38" t="str">
        <x:v>MEAS-EVD-010-6</x:v>
      </x:c>
      <x:c r="K64" s="38" t="str">
        <x:v>Synthetic historical measurement.</x:v>
      </x:c>
    </x:row>
    <x:row r="65">
      <x:c r="A65" s="38" t="str">
        <x:v>MEAS-APP-011-1</x:v>
      </x:c>
      <x:c r="B65" s="38" t="str">
        <x:v>KRI-APP-011</x:v>
      </x:c>
      <x:c r="C65" s="42" t="n">
        <x:v>46112</x:v>
      </x:c>
      <x:c r="D65" s="38" t="str">
        <x:v>Mar 2026</x:v>
      </x:c>
      <x:c r="E65" s="38" t="n">
        <x:v>9</x:v>
      </x:c>
      <x:c r="F65" s="38" t="str">
        <x:v>Count</x:v>
      </x:c>
      <x:c r="G65" s="38" t="str">
        <x:v>On Target</x:v>
      </x:c>
      <x:c r="H65" s="38" t="str">
        <x:v>Aseel</x:v>
      </x:c>
      <x:c r="I65" s="38" t="str">
        <x:v>Excel Import</x:v>
      </x:c>
      <x:c r="J65" s="38" t="str">
        <x:v>MEAS-EVD-011-1</x:v>
      </x:c>
      <x:c r="K65" s="38" t="str">
        <x:v>Synthetic historical measurement.</x:v>
      </x:c>
    </x:row>
    <x:row r="66">
      <x:c r="A66" s="38" t="str">
        <x:v>MEAS-APP-011-2</x:v>
      </x:c>
      <x:c r="B66" s="38" t="str">
        <x:v>KRI-APP-011</x:v>
      </x:c>
      <x:c r="C66" s="42" t="n">
        <x:v>46142</x:v>
      </x:c>
      <x:c r="D66" s="38" t="str">
        <x:v>Apr 2026</x:v>
      </x:c>
      <x:c r="E66" s="38" t="n">
        <x:v>8</x:v>
      </x:c>
      <x:c r="F66" s="38" t="str">
        <x:v>Count</x:v>
      </x:c>
      <x:c r="G66" s="38" t="str">
        <x:v>On Target</x:v>
      </x:c>
      <x:c r="H66" s="38" t="str">
        <x:v>Aseel</x:v>
      </x:c>
      <x:c r="I66" s="38" t="str">
        <x:v>Excel Import</x:v>
      </x:c>
      <x:c r="J66" s="38" t="str">
        <x:v>MEAS-EVD-011-2</x:v>
      </x:c>
      <x:c r="K66" s="38" t="str">
        <x:v>Synthetic historical measurement.</x:v>
      </x:c>
    </x:row>
    <x:row r="67">
      <x:c r="A67" s="38" t="str">
        <x:v>MEAS-APP-011-3</x:v>
      </x:c>
      <x:c r="B67" s="38" t="str">
        <x:v>KRI-APP-011</x:v>
      </x:c>
      <x:c r="C67" s="42" t="n">
        <x:v>46172</x:v>
      </x:c>
      <x:c r="D67" s="38" t="str">
        <x:v>May 2026</x:v>
      </x:c>
      <x:c r="E67" s="38" t="n">
        <x:v>7</x:v>
      </x:c>
      <x:c r="F67" s="38" t="str">
        <x:v>Count</x:v>
      </x:c>
      <x:c r="G67" s="38" t="str">
        <x:v>On Target</x:v>
      </x:c>
      <x:c r="H67" s="38" t="str">
        <x:v>Aseel</x:v>
      </x:c>
      <x:c r="I67" s="38" t="str">
        <x:v>Excel Import</x:v>
      </x:c>
      <x:c r="J67" s="38" t="str">
        <x:v>MEAS-EVD-011-3</x:v>
      </x:c>
      <x:c r="K67" s="38" t="str">
        <x:v>Synthetic historical measurement.</x:v>
      </x:c>
    </x:row>
    <x:row r="68">
      <x:c r="A68" s="38" t="str">
        <x:v>MEAS-APP-011-4</x:v>
      </x:c>
      <x:c r="B68" s="38" t="str">
        <x:v>KRI-APP-011</x:v>
      </x:c>
      <x:c r="C68" s="42" t="n">
        <x:v>46202</x:v>
      </x:c>
      <x:c r="D68" s="38" t="str">
        <x:v>Jun 2026</x:v>
      </x:c>
      <x:c r="E68" s="38" t="n">
        <x:v>6</x:v>
      </x:c>
      <x:c r="F68" s="38" t="str">
        <x:v>Count</x:v>
      </x:c>
      <x:c r="G68" s="38" t="str">
        <x:v>On Target</x:v>
      </x:c>
      <x:c r="H68" s="38" t="str">
        <x:v>Aseel</x:v>
      </x:c>
      <x:c r="I68" s="38" t="str">
        <x:v>Excel Import</x:v>
      </x:c>
      <x:c r="J68" s="38" t="str">
        <x:v>MEAS-EVD-011-4</x:v>
      </x:c>
      <x:c r="K68" s="38" t="str">
        <x:v>Synthetic historical measurement.</x:v>
      </x:c>
    </x:row>
    <x:row r="69">
      <x:c r="A69" s="38" t="str">
        <x:v>MEAS-APP-011-5</x:v>
      </x:c>
      <x:c r="B69" s="38" t="str">
        <x:v>KRI-APP-011</x:v>
      </x:c>
      <x:c r="C69" s="42" t="n">
        <x:v>46232</x:v>
      </x:c>
      <x:c r="D69" s="38" t="str">
        <x:v>Jul 2026</x:v>
      </x:c>
      <x:c r="E69" s="38" t="n">
        <x:v>5</x:v>
      </x:c>
      <x:c r="F69" s="38" t="str">
        <x:v>Count</x:v>
      </x:c>
      <x:c r="G69" s="38" t="str">
        <x:v>On Target</x:v>
      </x:c>
      <x:c r="H69" s="38" t="str">
        <x:v>Aseel</x:v>
      </x:c>
      <x:c r="I69" s="38" t="str">
        <x:v>Excel Import</x:v>
      </x:c>
      <x:c r="J69" s="38" t="str">
        <x:v>MEAS-EVD-011-5</x:v>
      </x:c>
      <x:c r="K69" s="38" t="str">
        <x:v>Synthetic historical measurement.</x:v>
      </x:c>
    </x:row>
    <x:row r="70">
      <x:c r="A70" s="38" t="str">
        <x:v>MEAS-APP-011-6</x:v>
      </x:c>
      <x:c r="B70" s="38" t="str">
        <x:v>KRI-APP-011</x:v>
      </x:c>
      <x:c r="C70" s="42" t="n">
        <x:v>46262</x:v>
      </x:c>
      <x:c r="D70" s="38" t="str">
        <x:v>Aug 2026</x:v>
      </x:c>
      <x:c r="E70" s="38" t="n">
        <x:v>4</x:v>
      </x:c>
      <x:c r="F70" s="38" t="str">
        <x:v>Count</x:v>
      </x:c>
      <x:c r="G70" s="38" t="str">
        <x:v>On Target</x:v>
      </x:c>
      <x:c r="H70" s="38" t="str">
        <x:v>Aseel</x:v>
      </x:c>
      <x:c r="I70" s="38" t="str">
        <x:v>Excel Import</x:v>
      </x:c>
      <x:c r="J70" s="38" t="str">
        <x:v>MEAS-EVD-011-6</x:v>
      </x:c>
      <x:c r="K70" s="38" t="str">
        <x:v>Synthetic historical measurement.</x:v>
      </x:c>
    </x:row>
    <x:row r="71">
      <x:c r="A71" s="38" t="str">
        <x:v>MEAS-APP-012-1</x:v>
      </x:c>
      <x:c r="B71" s="38" t="str">
        <x:v>KRI-APP-012</x:v>
      </x:c>
      <x:c r="C71" s="42" t="n">
        <x:v>46112</x:v>
      </x:c>
      <x:c r="D71" s="38" t="str">
        <x:v>Mar 2026</x:v>
      </x:c>
      <x:c r="E71" s="38" t="n">
        <x:v>0</x:v>
      </x:c>
      <x:c r="F71" s="38" t="str">
        <x:v>%</x:v>
      </x:c>
      <x:c r="G71" s="38" t="str">
        <x:v>On Target</x:v>
      </x:c>
      <x:c r="H71" s="38" t="str">
        <x:v>Walid</x:v>
      </x:c>
      <x:c r="I71" s="38" t="str">
        <x:v>API</x:v>
      </x:c>
      <x:c r="J71" s="38" t="str">
        <x:v>MEAS-EVD-012-1</x:v>
      </x:c>
      <x:c r="K71" s="38" t="str">
        <x:v>Synthetic historical measurement.</x:v>
      </x:c>
    </x:row>
    <x:row r="72">
      <x:c r="A72" s="38" t="str">
        <x:v>MEAS-APP-012-2</x:v>
      </x:c>
      <x:c r="B72" s="38" t="str">
        <x:v>KRI-APP-012</x:v>
      </x:c>
      <x:c r="C72" s="42" t="n">
        <x:v>46142</x:v>
      </x:c>
      <x:c r="D72" s="38" t="str">
        <x:v>Apr 2026</x:v>
      </x:c>
      <x:c r="E72" s="38" t="n">
        <x:v>1</x:v>
      </x:c>
      <x:c r="F72" s="38" t="str">
        <x:v>%</x:v>
      </x:c>
      <x:c r="G72" s="38" t="str">
        <x:v>On Target</x:v>
      </x:c>
      <x:c r="H72" s="38" t="str">
        <x:v>Walid</x:v>
      </x:c>
      <x:c r="I72" s="38" t="str">
        <x:v>API</x:v>
      </x:c>
      <x:c r="J72" s="38" t="str">
        <x:v>MEAS-EVD-012-2</x:v>
      </x:c>
      <x:c r="K72" s="38" t="str">
        <x:v>Synthetic historical measurement.</x:v>
      </x:c>
    </x:row>
    <x:row r="73">
      <x:c r="A73" s="38" t="str">
        <x:v>MEAS-APP-012-3</x:v>
      </x:c>
      <x:c r="B73" s="38" t="str">
        <x:v>KRI-APP-012</x:v>
      </x:c>
      <x:c r="C73" s="42" t="n">
        <x:v>46172</x:v>
      </x:c>
      <x:c r="D73" s="38" t="str">
        <x:v>May 2026</x:v>
      </x:c>
      <x:c r="E73" s="38" t="n">
        <x:v>2</x:v>
      </x:c>
      <x:c r="F73" s="38" t="str">
        <x:v>%</x:v>
      </x:c>
      <x:c r="G73" s="38" t="str">
        <x:v>On Target</x:v>
      </x:c>
      <x:c r="H73" s="38" t="str">
        <x:v>Walid</x:v>
      </x:c>
      <x:c r="I73" s="38" t="str">
        <x:v>API</x:v>
      </x:c>
      <x:c r="J73" s="38" t="str">
        <x:v>MEAS-EVD-012-3</x:v>
      </x:c>
      <x:c r="K73" s="38" t="str">
        <x:v>Synthetic historical measurement.</x:v>
      </x:c>
    </x:row>
    <x:row r="74">
      <x:c r="A74" s="38" t="str">
        <x:v>MEAS-APP-012-4</x:v>
      </x:c>
      <x:c r="B74" s="38" t="str">
        <x:v>KRI-APP-012</x:v>
      </x:c>
      <x:c r="C74" s="42" t="n">
        <x:v>46202</x:v>
      </x:c>
      <x:c r="D74" s="38" t="str">
        <x:v>Jun 2026</x:v>
      </x:c>
      <x:c r="E74" s="38" t="n">
        <x:v>3</x:v>
      </x:c>
      <x:c r="F74" s="38" t="str">
        <x:v>%</x:v>
      </x:c>
      <x:c r="G74" s="38" t="str">
        <x:v>Warning</x:v>
      </x:c>
      <x:c r="H74" s="38" t="str">
        <x:v>Walid</x:v>
      </x:c>
      <x:c r="I74" s="38" t="str">
        <x:v>API</x:v>
      </x:c>
      <x:c r="J74" s="38" t="str">
        <x:v>MEAS-EVD-012-4</x:v>
      </x:c>
      <x:c r="K74" s="38" t="str">
        <x:v>Synthetic historical measurement.</x:v>
      </x:c>
    </x:row>
    <x:row r="75">
      <x:c r="A75" s="38" t="str">
        <x:v>MEAS-APP-012-5</x:v>
      </x:c>
      <x:c r="B75" s="38" t="str">
        <x:v>KRI-APP-012</x:v>
      </x:c>
      <x:c r="C75" s="42" t="n">
        <x:v>46232</x:v>
      </x:c>
      <x:c r="D75" s="38" t="str">
        <x:v>Jul 2026</x:v>
      </x:c>
      <x:c r="E75" s="38" t="n">
        <x:v>4</x:v>
      </x:c>
      <x:c r="F75" s="38" t="str">
        <x:v>%</x:v>
      </x:c>
      <x:c r="G75" s="38" t="str">
        <x:v>Warning</x:v>
      </x:c>
      <x:c r="H75" s="38" t="str">
        <x:v>Walid</x:v>
      </x:c>
      <x:c r="I75" s="38" t="str">
        <x:v>API</x:v>
      </x:c>
      <x:c r="J75" s="38" t="str">
        <x:v>MEAS-EVD-012-5</x:v>
      </x:c>
      <x:c r="K75" s="38" t="str">
        <x:v>Synthetic historical measurement.</x:v>
      </x:c>
    </x:row>
    <x:row r="76">
      <x:c r="A76" s="38" t="str">
        <x:v>MEAS-APP-012-6</x:v>
      </x:c>
      <x:c r="B76" s="38" t="str">
        <x:v>KRI-APP-012</x:v>
      </x:c>
      <x:c r="C76" s="42" t="n">
        <x:v>46262</x:v>
      </x:c>
      <x:c r="D76" s="38" t="str">
        <x:v>Aug 2026</x:v>
      </x:c>
      <x:c r="E76" s="38" t="n">
        <x:v>5</x:v>
      </x:c>
      <x:c r="F76" s="38" t="str">
        <x:v>%</x:v>
      </x:c>
      <x:c r="G76" s="38" t="str">
        <x:v>Warning</x:v>
      </x:c>
      <x:c r="H76" s="38" t="str">
        <x:v>Walid</x:v>
      </x:c>
      <x:c r="I76" s="38" t="str">
        <x:v>API</x:v>
      </x:c>
      <x:c r="J76" s="38" t="str">
        <x:v>MEAS-EVD-012-6</x:v>
      </x:c>
      <x:c r="K76" s="38" t="str">
        <x:v>Synthetic historical measurement.</x:v>
      </x:c>
    </x:row>
  </x:sheetData>
  <x:mergeCells>
    <x:mergeCell ref="A1:K1"/>
    <x:mergeCell ref="A2:K2"/>
  </x:mergeCells>
  <x:conditionalFormatting sqref="A5:K76">
    <x:cfRule type="expression" dxfId="19" priority="1">
      <x:formula>MOD(ROW(),2)=0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a16a757f7c564ab6"/>
  </x:tableParts>
</x:worksheet>
</file>

<file path=xl/worksheets/sheet11.xml><?xml version="1.0" encoding="utf-8"?>
<x:worksheet xmlns:x="http://schemas.openxmlformats.org/spreadsheetml/2006/main">
  <x:sheetFormatPr defaultRowHeight="15"/>
  <x:cols>
    <x:col min="1" max="1" width="19" hidden="0" customWidth="1"/>
    <x:col min="2" max="2" width="20" hidden="0" customWidth="1"/>
    <x:col min="3" max="3" width="21" hidden="0" customWidth="1"/>
    <x:col min="4" max="4" width="21" hidden="0" customWidth="1"/>
    <x:col min="5" max="5" width="38" hidden="0" customWidth="1"/>
    <x:col min="6" max="6" width="48" hidden="0" customWidth="1"/>
    <x:col min="7" max="7" width="18" hidden="0" customWidth="1"/>
    <x:col min="8" max="8" width="17" hidden="0" customWidth="1"/>
    <x:col min="9" max="9" width="18" hidden="0" customWidth="1"/>
    <x:col min="10" max="10" width="16" hidden="0" customWidth="1"/>
    <x:col min="11" max="11" width="17" hidden="0" customWidth="1"/>
    <x:col min="12" max="12" width="24" hidden="0" customWidth="1"/>
  </x:cols>
  <x:sheetData>
    <x:row r="1" ht="34" customHeight="1">
      <x:c r="A1" s="5" t="str">
        <x:v>Apple Evidence Register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</x:row>
    <x:row r="2" ht="28" customHeight="1">
      <x:c r="A2" s="13" t="str">
        <x:v>Synthetic evidence metadata linked to records. No confidential source evidence is included.</x:v>
      </x:c>
      <x:c r="B2" s="13"/>
      <x:c r="C2" s="13"/>
      <x:c r="D2" s="13"/>
      <x:c r="E2" s="13"/>
      <x:c r="F2" s="13"/>
      <x:c r="G2" s="13"/>
      <x:c r="H2" s="13"/>
      <x:c r="I2" s="13"/>
      <x:c r="J2" s="13"/>
      <x:c r="K2" s="13"/>
      <x:c r="L2" s="13"/>
    </x:row>
    <x:row r="4" ht="32" customHeight="1">
      <x:c r="A4" s="30" t="str">
        <x:v>Evidence ID</x:v>
      </x:c>
      <x:c r="B4" s="30" t="str">
        <x:v>Related Module</x:v>
      </x:c>
      <x:c r="C4" s="30" t="str">
        <x:v>Related Record ID</x:v>
      </x:c>
      <x:c r="D4" s="30" t="str">
        <x:v>Evidence Type</x:v>
      </x:c>
      <x:c r="E4" s="30" t="str">
        <x:v>File Name / Reference</x:v>
      </x:c>
      <x:c r="F4" s="30" t="str">
        <x:v>Evidence Description</x:v>
      </x:c>
      <x:c r="G4" s="30" t="str">
        <x:v>Evidence Owner</x:v>
      </x:c>
      <x:c r="H4" s="30" t="str">
        <x:v>Collection Date</x:v>
      </x:c>
      <x:c r="I4" s="30" t="str">
        <x:v>Review Status</x:v>
      </x:c>
      <x:c r="J4" s="30" t="str">
        <x:v>Reviewed By</x:v>
      </x:c>
      <x:c r="K4" s="30" t="str">
        <x:v>Retention Date</x:v>
      </x:c>
      <x:c r="L4" s="30" t="str">
        <x:v>Information Classification</x:v>
      </x:c>
    </x:row>
    <x:row r="5">
      <x:c r="A5" s="38" t="str">
        <x:v>EVD-APP-001</x:v>
      </x:c>
      <x:c r="B5" s="38" t="str">
        <x:v>Risk Assessment</x:v>
      </x:c>
      <x:c r="C5" s="38" t="str">
        <x:v>RISK-APP-001</x:v>
      </x:c>
      <x:c r="D5" s="38" t="str">
        <x:v>Audit Report</x:v>
      </x:c>
      <x:c r="E5" s="38" t="str">
        <x:v>synthetic_risk-app-001_evidence.pdf</x:v>
      </x:c>
      <x:c r="F5" s="38" t="str">
        <x:v>Synthetic evidence metadata only; no real file is included.</x:v>
      </x:c>
      <x:c r="G5" s="38" t="str">
        <x:v>Rasha</x:v>
      </x:c>
      <x:c r="H5" s="42" t="n">
        <x:v>46236</x:v>
      </x:c>
      <x:c r="I5" s="38" t="str">
        <x:v>Accepted</x:v>
      </x:c>
      <x:c r="J5" s="38" t="str">
        <x:v>Sara</x:v>
      </x:c>
      <x:c r="K5" s="42" t="n">
        <x:v>47483</x:v>
      </x:c>
      <x:c r="L5" s="38" t="str">
        <x:v>Internal</x:v>
      </x:c>
    </x:row>
    <x:row r="6">
      <x:c r="A6" s="38" t="str">
        <x:v>EVD-APP-002</x:v>
      </x:c>
      <x:c r="B6" s="38" t="str">
        <x:v>Risk Assessment</x:v>
      </x:c>
      <x:c r="C6" s="38" t="str">
        <x:v>RISK-APP-002</x:v>
      </x:c>
      <x:c r="D6" s="38" t="str">
        <x:v>Screenshot</x:v>
      </x:c>
      <x:c r="E6" s="38" t="str">
        <x:v>synthetic_risk-app-002_evidence.pdf</x:v>
      </x:c>
      <x:c r="F6" s="38" t="str">
        <x:v>Synthetic evidence metadata only; no real file is included.</x:v>
      </x:c>
      <x:c r="G6" s="38" t="str">
        <x:v>Adel</x:v>
      </x:c>
      <x:c r="H6" s="42" t="n">
        <x:v>46237</x:v>
      </x:c>
      <x:c r="I6" s="38" t="str">
        <x:v>Needs Update</x:v>
      </x:c>
      <x:c r="J6" s="38" t="str">
        <x:v>Ahmed</x:v>
      </x:c>
      <x:c r="K6" s="42" t="n">
        <x:v>47483</x:v>
      </x:c>
      <x:c r="L6" s="38" t="str">
        <x:v>Internal</x:v>
      </x:c>
    </x:row>
    <x:row r="7">
      <x:c r="A7" s="38" t="str">
        <x:v>EVD-APP-003</x:v>
      </x:c>
      <x:c r="B7" s="38" t="str">
        <x:v>Risk Assessment</x:v>
      </x:c>
      <x:c r="C7" s="38" t="str">
        <x:v>RISK-APP-003</x:v>
      </x:c>
      <x:c r="D7" s="38" t="str">
        <x:v>Log Query</x:v>
      </x:c>
      <x:c r="E7" s="38" t="str">
        <x:v>synthetic_risk-app-003_evidence.pdf</x:v>
      </x:c>
      <x:c r="F7" s="38" t="str">
        <x:v>Synthetic evidence metadata only; no real file is included.</x:v>
      </x:c>
      <x:c r="G7" s="38" t="str">
        <x:v>Yousef</x:v>
      </x:c>
      <x:c r="H7" s="42" t="n">
        <x:v>46238</x:v>
      </x:c>
      <x:c r="I7" s="38" t="str">
        <x:v>Pending Review</x:v>
      </x:c>
      <x:c r="J7" s="38" t="str">
        <x:v>Mariam</x:v>
      </x:c>
      <x:c r="K7" s="42" t="n">
        <x:v>47483</x:v>
      </x:c>
      <x:c r="L7" s="38" t="str">
        <x:v>Internal</x:v>
      </x:c>
    </x:row>
    <x:row r="8">
      <x:c r="A8" s="38" t="str">
        <x:v>EVD-APP-004</x:v>
      </x:c>
      <x:c r="B8" s="38" t="str">
        <x:v>Risk Assessment</x:v>
      </x:c>
      <x:c r="C8" s="38" t="str">
        <x:v>RISK-APP-004</x:v>
      </x:c>
      <x:c r="D8" s="38" t="str">
        <x:v>Approval Record</x:v>
      </x:c>
      <x:c r="E8" s="38" t="str">
        <x:v>synthetic_risk-app-004_evidence.pdf</x:v>
      </x:c>
      <x:c r="F8" s="38" t="str">
        <x:v>Synthetic evidence metadata only; no real file is included.</x:v>
      </x:c>
      <x:c r="G8" s="38" t="str">
        <x:v>Mona</x:v>
      </x:c>
      <x:c r="H8" s="42" t="n">
        <x:v>46239</x:v>
      </x:c>
      <x:c r="I8" s="38" t="str">
        <x:v>Accepted</x:v>
      </x:c>
      <x:c r="J8" s="38" t="str">
        <x:v>Mohammed</x:v>
      </x:c>
      <x:c r="K8" s="42" t="n">
        <x:v>47483</x:v>
      </x:c>
      <x:c r="L8" s="38" t="str">
        <x:v>Internal</x:v>
      </x:c>
    </x:row>
    <x:row r="9">
      <x:c r="A9" s="38" t="str">
        <x:v>EVD-APP-005</x:v>
      </x:c>
      <x:c r="B9" s="38" t="str">
        <x:v>Risk Assessment</x:v>
      </x:c>
      <x:c r="C9" s="38" t="str">
        <x:v>RISK-APP-005</x:v>
      </x:c>
      <x:c r="D9" s="38" t="str">
        <x:v>Configuration Export</x:v>
      </x:c>
      <x:c r="E9" s="38" t="str">
        <x:v>synthetic_risk-app-005_evidence.pdf</x:v>
      </x:c>
      <x:c r="F9" s="38" t="str">
        <x:v>Synthetic evidence metadata only; no real file is included.</x:v>
      </x:c>
      <x:c r="G9" s="38" t="str">
        <x:v>Hanan</x:v>
      </x:c>
      <x:c r="H9" s="42" t="n">
        <x:v>46240</x:v>
      </x:c>
      <x:c r="I9" s="38" t="str">
        <x:v>Needs Update</x:v>
      </x:c>
      <x:c r="J9" s="38" t="str">
        <x:v>Sara</x:v>
      </x:c>
      <x:c r="K9" s="42" t="n">
        <x:v>47483</x:v>
      </x:c>
      <x:c r="L9" s="38" t="str">
        <x:v>Internal</x:v>
      </x:c>
    </x:row>
    <x:row r="10">
      <x:c r="A10" s="38" t="str">
        <x:v>EVD-APP-006</x:v>
      </x:c>
      <x:c r="B10" s="38" t="str">
        <x:v>Risk Assessment</x:v>
      </x:c>
      <x:c r="C10" s="38" t="str">
        <x:v>RISK-APP-006</x:v>
      </x:c>
      <x:c r="D10" s="38" t="str">
        <x:v>Audit Report</x:v>
      </x:c>
      <x:c r="E10" s="38" t="str">
        <x:v>synthetic_risk-app-006_evidence.pdf</x:v>
      </x:c>
      <x:c r="F10" s="38" t="str">
        <x:v>Synthetic evidence metadata only; no real file is included.</x:v>
      </x:c>
      <x:c r="G10" s="38" t="str">
        <x:v>Faisal</x:v>
      </x:c>
      <x:c r="H10" s="42" t="n">
        <x:v>46241</x:v>
      </x:c>
      <x:c r="I10" s="38" t="str">
        <x:v>Pending Review</x:v>
      </x:c>
      <x:c r="J10" s="38" t="str">
        <x:v>Ahmed</x:v>
      </x:c>
      <x:c r="K10" s="42" t="n">
        <x:v>47483</x:v>
      </x:c>
      <x:c r="L10" s="38" t="str">
        <x:v>Internal</x:v>
      </x:c>
    </x:row>
    <x:row r="11">
      <x:c r="A11" s="38" t="str">
        <x:v>EVD-APP-007</x:v>
      </x:c>
      <x:c r="B11" s="38" t="str">
        <x:v>Risk Assessment</x:v>
      </x:c>
      <x:c r="C11" s="38" t="str">
        <x:v>RISK-APP-007</x:v>
      </x:c>
      <x:c r="D11" s="38" t="str">
        <x:v>Screenshot</x:v>
      </x:c>
      <x:c r="E11" s="38" t="str">
        <x:v>synthetic_risk-app-007_evidence.pdf</x:v>
      </x:c>
      <x:c r="F11" s="38" t="str">
        <x:v>Synthetic evidence metadata only; no real file is included.</x:v>
      </x:c>
      <x:c r="G11" s="38" t="str">
        <x:v>Nadia</x:v>
      </x:c>
      <x:c r="H11" s="42" t="n">
        <x:v>46242</x:v>
      </x:c>
      <x:c r="I11" s="38" t="str">
        <x:v>Accepted</x:v>
      </x:c>
      <x:c r="J11" s="38" t="str">
        <x:v>Mariam</x:v>
      </x:c>
      <x:c r="K11" s="42" t="n">
        <x:v>47483</x:v>
      </x:c>
      <x:c r="L11" s="38" t="str">
        <x:v>Internal</x:v>
      </x:c>
    </x:row>
    <x:row r="12">
      <x:c r="A12" s="38" t="str">
        <x:v>EVD-APP-008</x:v>
      </x:c>
      <x:c r="B12" s="38" t="str">
        <x:v>Risk Assessment</x:v>
      </x:c>
      <x:c r="C12" s="38" t="str">
        <x:v>RISK-APP-008</x:v>
      </x:c>
      <x:c r="D12" s="38" t="str">
        <x:v>Log Query</x:v>
      </x:c>
      <x:c r="E12" s="38" t="str">
        <x:v>synthetic_risk-app-008_evidence.pdf</x:v>
      </x:c>
      <x:c r="F12" s="38" t="str">
        <x:v>Synthetic evidence metadata only; no real file is included.</x:v>
      </x:c>
      <x:c r="G12" s="38" t="str">
        <x:v>Saud</x:v>
      </x:c>
      <x:c r="H12" s="42" t="n">
        <x:v>46243</x:v>
      </x:c>
      <x:c r="I12" s="38" t="str">
        <x:v>Needs Update</x:v>
      </x:c>
      <x:c r="J12" s="38" t="str">
        <x:v>Mohammed</x:v>
      </x:c>
      <x:c r="K12" s="42" t="n">
        <x:v>47483</x:v>
      </x:c>
      <x:c r="L12" s="38" t="str">
        <x:v>Internal</x:v>
      </x:c>
    </x:row>
    <x:row r="13">
      <x:c r="A13" s="38" t="str">
        <x:v>EVD-APP-009</x:v>
      </x:c>
      <x:c r="B13" s="38" t="str">
        <x:v>Risk Assessment</x:v>
      </x:c>
      <x:c r="C13" s="38" t="str">
        <x:v>RISK-APP-009</x:v>
      </x:c>
      <x:c r="D13" s="38" t="str">
        <x:v>Approval Record</x:v>
      </x:c>
      <x:c r="E13" s="38" t="str">
        <x:v>synthetic_risk-app-009_evidence.pdf</x:v>
      </x:c>
      <x:c r="F13" s="38" t="str">
        <x:v>Synthetic evidence metadata only; no real file is included.</x:v>
      </x:c>
      <x:c r="G13" s="38" t="str">
        <x:v>Lama</x:v>
      </x:c>
      <x:c r="H13" s="42" t="n">
        <x:v>46244</x:v>
      </x:c>
      <x:c r="I13" s="38" t="str">
        <x:v>Pending Review</x:v>
      </x:c>
      <x:c r="J13" s="38" t="str">
        <x:v>Sara</x:v>
      </x:c>
      <x:c r="K13" s="42" t="n">
        <x:v>47483</x:v>
      </x:c>
      <x:c r="L13" s="38" t="str">
        <x:v>Internal</x:v>
      </x:c>
    </x:row>
    <x:row r="14">
      <x:c r="A14" s="38" t="str">
        <x:v>EVD-APP-010</x:v>
      </x:c>
      <x:c r="B14" s="38" t="str">
        <x:v>Risk Assessment</x:v>
      </x:c>
      <x:c r="C14" s="38" t="str">
        <x:v>RISK-APP-010</x:v>
      </x:c>
      <x:c r="D14" s="38" t="str">
        <x:v>Configuration Export</x:v>
      </x:c>
      <x:c r="E14" s="38" t="str">
        <x:v>synthetic_risk-app-010_evidence.pdf</x:v>
      </x:c>
      <x:c r="F14" s="38" t="str">
        <x:v>Synthetic evidence metadata only; no real file is included.</x:v>
      </x:c>
      <x:c r="G14" s="38" t="str">
        <x:v>Kareem</x:v>
      </x:c>
      <x:c r="H14" s="42" t="n">
        <x:v>46245</x:v>
      </x:c>
      <x:c r="I14" s="38" t="str">
        <x:v>Accepted</x:v>
      </x:c>
      <x:c r="J14" s="38" t="str">
        <x:v>Ahmed</x:v>
      </x:c>
      <x:c r="K14" s="42" t="n">
        <x:v>47483</x:v>
      </x:c>
      <x:c r="L14" s="38" t="str">
        <x:v>Internal</x:v>
      </x:c>
    </x:row>
    <x:row r="15">
      <x:c r="A15" s="38" t="str">
        <x:v>EVD-APP-011</x:v>
      </x:c>
      <x:c r="B15" s="38" t="str">
        <x:v>Risk Assessment</x:v>
      </x:c>
      <x:c r="C15" s="38" t="str">
        <x:v>RISK-APP-011</x:v>
      </x:c>
      <x:c r="D15" s="38" t="str">
        <x:v>Audit Report</x:v>
      </x:c>
      <x:c r="E15" s="38" t="str">
        <x:v>synthetic_risk-app-011_evidence.pdf</x:v>
      </x:c>
      <x:c r="F15" s="38" t="str">
        <x:v>Synthetic evidence metadata only; no real file is included.</x:v>
      </x:c>
      <x:c r="G15" s="38" t="str">
        <x:v>Aseel</x:v>
      </x:c>
      <x:c r="H15" s="42" t="n">
        <x:v>46246</x:v>
      </x:c>
      <x:c r="I15" s="38" t="str">
        <x:v>Needs Update</x:v>
      </x:c>
      <x:c r="J15" s="38" t="str">
        <x:v>Mariam</x:v>
      </x:c>
      <x:c r="K15" s="42" t="n">
        <x:v>47483</x:v>
      </x:c>
      <x:c r="L15" s="38" t="str">
        <x:v>Internal</x:v>
      </x:c>
    </x:row>
    <x:row r="16">
      <x:c r="A16" s="38" t="str">
        <x:v>EVD-APP-012</x:v>
      </x:c>
      <x:c r="B16" s="38" t="str">
        <x:v>Risk Assessment</x:v>
      </x:c>
      <x:c r="C16" s="38" t="str">
        <x:v>RISK-APP-012</x:v>
      </x:c>
      <x:c r="D16" s="38" t="str">
        <x:v>Screenshot</x:v>
      </x:c>
      <x:c r="E16" s="38" t="str">
        <x:v>synthetic_risk-app-012_evidence.pdf</x:v>
      </x:c>
      <x:c r="F16" s="38" t="str">
        <x:v>Synthetic evidence metadata only; no real file is included.</x:v>
      </x:c>
      <x:c r="G16" s="38" t="str">
        <x:v>Walid</x:v>
      </x:c>
      <x:c r="H16" s="42" t="n">
        <x:v>46247</x:v>
      </x:c>
      <x:c r="I16" s="38" t="str">
        <x:v>Pending Review</x:v>
      </x:c>
      <x:c r="J16" s="38" t="str">
        <x:v>Mohammed</x:v>
      </x:c>
      <x:c r="K16" s="42" t="n">
        <x:v>47483</x:v>
      </x:c>
      <x:c r="L16" s="38" t="str">
        <x:v>Internal</x:v>
      </x:c>
    </x:row>
  </x:sheetData>
  <x:mergeCells>
    <x:mergeCell ref="A1:L1"/>
    <x:mergeCell ref="A2:L2"/>
  </x:mergeCells>
  <x:conditionalFormatting sqref="A5:L16">
    <x:cfRule type="expression" dxfId="20" priority="1">
      <x:formula>MOD(ROW(),2)=0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290699343be34dfd"/>
  </x:tableParts>
</x:worksheet>
</file>

<file path=xl/worksheets/sheet12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18" hidden="0" customWidth="1"/>
    <x:col min="4" max="4" width="20" hidden="0" customWidth="1"/>
    <x:col min="5" max="5" width="12" hidden="0" customWidth="1"/>
  </x:cols>
  <x:sheetData>
    <x:row r="1" ht="34" customHeight="1">
      <x:c r="A1" s="5" t="str">
        <x:v>Apple Risk Assessment Dashboard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</x:row>
    <x:row r="2" ht="28" customHeight="1">
      <x:c r="A2" s="13" t="str">
        <x:v>Formula-driven summary of the synthetic risk register and treatment posture.</x:v>
      </x:c>
      <x:c r="B2" s="13"/>
      <x:c r="C2" s="13"/>
      <x:c r="D2" s="13"/>
      <x:c r="E2" s="13"/>
      <x:c r="F2" s="13"/>
      <x:c r="G2" s="13"/>
      <x:c r="H2" s="13"/>
      <x:c r="I2" s="13"/>
      <x:c r="J2" s="13"/>
      <x:c r="K2" s="13"/>
      <x:c r="L2" s="13"/>
    </x:row>
    <x:row r="4" ht="32" customHeight="1">
      <x:c r="A4" s="30" t="str">
        <x:v>Dashboard Metric</x:v>
      </x:c>
      <x:c r="B4" s="30" t="str">
        <x:v>Current Value</x:v>
      </x:c>
      <x:c r="D4" s="30" t="str">
        <x:v>Inherent Risk Level</x:v>
      </x:c>
      <x:c r="E4" s="30" t="str">
        <x:v>Count</x:v>
      </x:c>
    </x:row>
    <x:row r="5">
      <x:c r="A5" s="18" t="str">
        <x:v>Total Risk Records</x:v>
      </x:c>
      <x:c r="B5" t="n">
        <x:f>COUNTA('Risk Register'!A5:A16)</x:f>
        <x:v>12</x:v>
      </x:c>
      <x:c r="D5" t="str">
        <x:v>Critical</x:v>
      </x:c>
      <x:c r="E5" t="n">
        <x:f>COUNTIF('Risk Register'!N5:N16,"Critical")</x:f>
        <x:v>9</x:v>
      </x:c>
    </x:row>
    <x:row r="6">
      <x:c r="A6" s="18" t="str">
        <x:v>Critical Inherent Risks</x:v>
      </x:c>
      <x:c r="B6" t="n">
        <x:f>COUNTIF('Risk Register'!N5:N16,"Critical")</x:f>
        <x:v>9</x:v>
      </x:c>
      <x:c r="D6" t="str">
        <x:v>High</x:v>
      </x:c>
      <x:c r="E6" t="n">
        <x:f>COUNTIF('Risk Register'!N5:N16,"High")</x:f>
        <x:v>3</x:v>
      </x:c>
    </x:row>
    <x:row r="7">
      <x:c r="A7" s="18" t="str">
        <x:v>High Inherent Risks</x:v>
      </x:c>
      <x:c r="B7" t="n">
        <x:f>COUNTIF('Risk Register'!N5:N16,"High")</x:f>
        <x:v>3</x:v>
      </x:c>
      <x:c r="D7" t="str">
        <x:v>Medium</x:v>
      </x:c>
      <x:c r="E7" t="n">
        <x:f>COUNTIF('Risk Register'!N5:N16,"Medium")</x:f>
        <x:v>0</x:v>
      </x:c>
    </x:row>
    <x:row r="8">
      <x:c r="A8" s="18" t="str">
        <x:v>Active Risk Records</x:v>
      </x:c>
      <x:c r="B8" t="n">
        <x:f>COUNTIF('Risk Register'!W5:W16,"Open")+COUNTIF('Risk Register'!W5:W16,"In Progress")</x:f>
        <x:v>10</x:v>
      </x:c>
      <x:c r="D8" t="str">
        <x:v>Low</x:v>
      </x:c>
      <x:c r="E8" t="n">
        <x:f>COUNTIF('Risk Register'!N5:N16,"Low")</x:f>
        <x:v>0</x:v>
      </x:c>
    </x:row>
    <x:row r="9">
      <x:c r="A9" s="18" t="str">
        <x:v>Average Inherent Risk Score</x:v>
      </x:c>
      <x:c r="B9" s="48" t="n">
        <x:f>AVERAGE('Risk Register'!M5:M16)</x:f>
        <x:v>14.583333333333334</x:v>
      </x:c>
    </x:row>
    <x:row r="10">
      <x:c r="A10" s="18" t="str">
        <x:v>Average Residual Risk Score</x:v>
      </x:c>
      <x:c r="B10" s="48" t="n">
        <x:f>AVERAGE('Risk Register'!U5:U16)</x:f>
        <x:v>5.5</x:v>
      </x:c>
    </x:row>
  </x:sheetData>
  <x:mergeCells>
    <x:mergeCell ref="A1:L1"/>
    <x:mergeCell ref="A2:L2"/>
  </x:mergeCells>
  <x:pageMargins left="0.7" right="0.7" top="0.75" bottom="0.75" header="0.3" footer="0.3"/>
  <x:drawing xmlns:r="http://schemas.openxmlformats.org/officeDocument/2006/relationships" r:id="Rd38bf519e1c44b95"/>
</x:worksheet>
</file>

<file path=xl/worksheets/sheet1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2" hidden="0" customWidth="1"/>
    <x:col min="3" max="3" width="54" hidden="0" customWidth="1"/>
    <x:col min="4" max="4" width="54" hidden="0" customWidth="1"/>
    <x:col min="5" max="5" width="26" hidden="0" customWidth="1"/>
    <x:col min="6" max="6" width="48" hidden="0" customWidth="1"/>
  </x:cols>
  <x:sheetData>
    <x:row r="1" ht="34" customHeight="1">
      <x:c r="A1" s="5" t="str">
        <x:v>Apple GRCx Import Schema</x:v>
      </x:c>
      <x:c r="B1" s="5"/>
      <x:c r="C1" s="5"/>
      <x:c r="D1" s="5"/>
      <x:c r="E1" s="5"/>
      <x:c r="F1" s="5"/>
    </x:row>
    <x:row r="2" ht="28" customHeight="1">
      <x:c r="A2" s="13" t="str">
        <x:v>Backend-friendly column mapping and safe import behavior for Cursor and GRCx.</x:v>
      </x:c>
      <x:c r="B2" s="13"/>
      <x:c r="C2" s="13"/>
      <x:c r="D2" s="13"/>
      <x:c r="E2" s="13"/>
      <x:c r="F2" s="13"/>
    </x:row>
    <x:row r="4" ht="32" customHeight="1">
      <x:c r="A4" s="30" t="str">
        <x:v>Module</x:v>
      </x:c>
      <x:c r="B4" s="30" t="str">
        <x:v>Unique Record Key</x:v>
      </x:c>
      <x:c r="C4" s="30" t="str">
        <x:v>Required Import Columns</x:v>
      </x:c>
      <x:c r="D4" s="30" t="str">
        <x:v>Optional Import Columns</x:v>
      </x:c>
      <x:c r="E4" s="30" t="str">
        <x:v>Recommended Import Mode</x:v>
      </x:c>
      <x:c r="F4" s="30" t="str">
        <x:v>Validation / Processing Notes</x:v>
      </x:c>
    </x:row>
    <x:row r="5">
      <x:c r="A5" s="38" t="str">
        <x:v>Risk Register</x:v>
      </x:c>
      <x:c r="B5" s="38" t="str">
        <x:v>Risk ID</x:v>
      </x:c>
      <x:c r="C5" s="38" t="str">
        <x:v>Risk ID, Risk Title, Risk Category, Business Unit, Risk Owner, Inherent Likelihood, Inherent Impact</x:v>
      </x:c>
      <x:c r="D5" s="38" t="str">
        <x:v>Threat, Vulnerability, Impact Area, Treatment, Framework, Residual values, Status, dates, Evidence</x:v>
      </x:c>
      <x:c r="E5" s="38" t="str">
        <x:v>Append and Update</x:v>
      </x:c>
      <x:c r="F5" s="38" t="str">
        <x:v>Never delete historical records automatically.</x:v>
      </x:c>
    </x:row>
    <x:row r="6">
      <x:c r="A6" s="38" t="str">
        <x:v>Risk Treatment Plans</x:v>
      </x:c>
      <x:c r="B6" s="38" t="str">
        <x:v>Treatment ID</x:v>
      </x:c>
      <x:c r="C6" s="38" t="str">
        <x:v>Treatment ID, Risk ID, Treatment Type, Treatment Action, Action Owner, Target Completion Date, Status</x:v>
      </x:c>
      <x:c r="D6" s="38" t="str">
        <x:v>Cost, progress, dependencies, evidence</x:v>
      </x:c>
      <x:c r="E6" s="38" t="str">
        <x:v>Append and Update</x:v>
      </x:c>
      <x:c r="F6" s="38" t="str">
        <x:v>Validate Risk ID relationship.</x:v>
      </x:c>
    </x:row>
    <x:row r="7">
      <x:c r="A7" s="38" t="str">
        <x:v>Control Register</x:v>
      </x:c>
      <x:c r="B7" s="38" t="str">
        <x:v>Control ID</x:v>
      </x:c>
      <x:c r="C7" s="38" t="str">
        <x:v>Control ID, Control Name, Framework, Control Owner, Implementation Status</x:v>
      </x:c>
      <x:c r="D7" s="38" t="str">
        <x:v>Effectiveness, test dates, evidence, related risks</x:v>
      </x:c>
      <x:c r="E7" s="38" t="str">
        <x:v>Append and Update</x:v>
      </x:c>
      <x:c r="F7" s="38" t="str">
        <x:v>A control may map to multiple risks.</x:v>
      </x:c>
    </x:row>
    <x:row r="8">
      <x:c r="A8" s="38" t="str">
        <x:v>KRI Register</x:v>
      </x:c>
      <x:c r="B8" s="38" t="str">
        <x:v>KRI ID</x:v>
      </x:c>
      <x:c r="C8" s="38" t="str">
        <x:v>KRI ID, Risk ID, KRI Name, Business Unit, Owner, unit, thresholds</x:v>
      </x:c>
      <x:c r="D8" s="38" t="str">
        <x:v>Frequency, data source, evidence, notes</x:v>
      </x:c>
      <x:c r="E8" s="38" t="str">
        <x:v>Append and Update</x:v>
      </x:c>
      <x:c r="F8" s="38" t="str">
        <x:v>Validate threshold direction and duplicate IDs.</x:v>
      </x:c>
    </x:row>
    <x:row r="9">
      <x:c r="A9" s="38" t="str">
        <x:v>KRI Measurement History</x:v>
      </x:c>
      <x:c r="B9" s="38" t="str">
        <x:v>Measurement ID</x:v>
      </x:c>
      <x:c r="C9" s="38" t="str">
        <x:v>Measurement ID, KRI ID, Measurement Date, Measured Value</x:v>
      </x:c>
      <x:c r="D9" s="38" t="str">
        <x:v>Period, unit, status, evidence, notes</x:v>
      </x:c>
      <x:c r="E9" s="38" t="str">
        <x:v>Append New Records</x:v>
      </x:c>
      <x:c r="F9" s="38" t="str">
        <x:v>Do not overwrite prior periods.</x:v>
      </x:c>
    </x:row>
    <x:row r="10">
      <x:c r="A10" s="38" t="str">
        <x:v>Evidence Register</x:v>
      </x:c>
      <x:c r="B10" s="38" t="str">
        <x:v>Evidence ID</x:v>
      </x:c>
      <x:c r="C10" s="38" t="str">
        <x:v>Evidence ID, Related Module, Related Record ID, Evidence Type</x:v>
      </x:c>
      <x:c r="D10" s="38" t="str">
        <x:v>Reference, description, owner, dates, status</x:v>
      </x:c>
      <x:c r="E10" s="38" t="str">
        <x:v>Append New Records</x:v>
      </x:c>
      <x:c r="F10" s="38" t="str">
        <x:v>Metadata only; files require secure upload.</x:v>
      </x:c>
    </x:row>
  </x:sheetData>
  <x:mergeCells>
    <x:mergeCell ref="A1:F1"/>
    <x:mergeCell ref="A2:F2"/>
  </x:mergeCells>
  <x:conditionalFormatting sqref="A5:F10">
    <x:cfRule type="expression" dxfId="21" priority="1">
      <x:formula>MOD(ROW(),2)=0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b706fca5bd044f05"/>
  </x:tableParts>
</x:worksheet>
</file>