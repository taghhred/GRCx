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d90809deeb41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a8b299478554196"/>
    <x:sheet xmlns:r="http://schemas.openxmlformats.org/officeDocument/2006/relationships" name="Assets" sheetId="2" r:id="R136baf3cc0d149dc"/>
    <x:sheet xmlns:r="http://schemas.openxmlformats.org/officeDocument/2006/relationships" name="Risk Register" sheetId="3" r:id="Re9c36d09427c46c1"/>
    <x:sheet xmlns:r="http://schemas.openxmlformats.org/officeDocument/2006/relationships" name="Treatments" sheetId="4" r:id="Ree806875dc9d4dfd"/>
    <x:sheet xmlns:r="http://schemas.openxmlformats.org/officeDocument/2006/relationships" name="Controls" sheetId="5" r:id="Rabc69bee58e04c33"/>
    <x:sheet xmlns:r="http://schemas.openxmlformats.org/officeDocument/2006/relationships" name="KRI Register" sheetId="6" r:id="Rabc2c3a50caa4153"/>
    <x:sheet xmlns:r="http://schemas.openxmlformats.org/officeDocument/2006/relationships" name="KRI Measurements" sheetId="7" r:id="R65e7d7297d8c4b8b"/>
    <x:sheet xmlns:r="http://schemas.openxmlformats.org/officeDocument/2006/relationships" name="Roles" sheetId="8" r:id="Rc7efa1686f3b4f5d"/>
    <x:sheet xmlns:r="http://schemas.openxmlformats.org/officeDocument/2006/relationships" name="Cost Benefit" sheetId="9" r:id="Rb81f42f54d2f45e8"/>
    <x:sheet xmlns:r="http://schemas.openxmlformats.org/officeDocument/2006/relationships" name="Evidence" sheetId="10" r:id="R5e8eab446f424611"/>
    <x:sheet xmlns:r="http://schemas.openxmlformats.org/officeDocument/2006/relationships" name="Dashboard" sheetId="11" r:id="R214e1b91b13d41f7"/>
    <x:sheet xmlns:r="http://schemas.openxmlformats.org/officeDocument/2006/relationships" name="Import Schema" sheetId="12" r:id="Ra1f930fa67a44e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$#,##0"/>
    <x:numFmt numFmtId="202" formatCode="0&quot;%&quot;"/>
    <x:numFmt numFmtId="203" formatCode="0.0"/>
  </x:numFmts>
  <x:fonts count="7">
    <x:font>
      <x:sz val="11"/>
      <x:name val="Carlito"/>
    </x:font>
    <x:font>
      <x:b/>
      <x:sz val="20"/>
      <x:color rgb="FFFFFFFF"/>
      <x:name val="Carlito"/>
    </x:font>
    <x:font>
      <x:i/>
      <x:sz val="10"/>
      <x:color rgb="FF1F2937"/>
      <x:name val="Carlito"/>
    </x:font>
    <x:font>
      <x:b/>
      <x:sz val="11"/>
      <x:color rgb="FF0B1F3A"/>
      <x:name val="Carlito"/>
    </x:font>
    <x:font>
      <x:sz val="11"/>
      <x:color rgb="FF1F2937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DC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center" wrapText="1"/>
    </x:xf>
    <x:xf numFmtId="202" fontId="6" fillId="0" borderId="0" xfId="0" applyNumberFormat="1" applyFont="1" applyFill="1" applyBorder="1" applyAlignment="1">
      <x:alignment vertical="center" wrapText="1"/>
    </x:xf>
    <x:xf numFmtId="202" fontId="6" fillId="0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0">
    <x:dxf>
      <x:fill>
        <x:patternFill>
          <x:bgColor rgb="FFF3F7FB"/>
        </x:patternFill>
      </x:fill>
    </x:dxf>
    <x:dxf>
      <x:fill>
        <x:patternFill>
          <x:bgColor rgb="FFF3F7F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ill>
        <x:patternFill>
          <x:bgColor rgb="FFF3F7FB"/>
        </x:patternFill>
      </x:fill>
    </x:dxf>
    <x:dxf>
      <x:fill>
        <x:patternFill>
          <x:bgColor rgb="FFF3F7FB"/>
        </x:patternFill>
      </x:fill>
    </x:dxf>
    <x:dxf>
      <x:fill>
        <x:patternFill>
          <x:bgColor rgb="FFF3F7F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ill>
        <x:patternFill>
          <x:bgColor rgb="FFF3F7FB"/>
        </x:patternFill>
      </x:fill>
    </x:dxf>
    <x:dxf>
      <x:fill>
        <x:patternFill>
          <x:bgColor rgb="FFF3F7FB"/>
        </x:patternFill>
      </x:fill>
    </x:dxf>
    <x:dxf>
      <x:fill>
        <x:patternFill>
          <x:bgColor rgb="FFF3F7FB"/>
        </x:patternFill>
      </x:fill>
    </x:dxf>
    <x:dxf>
      <x:fill>
        <x:patternFill>
          <x:bgColor rgb="FFF3F7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ab727a38eb4c0b" /><Relationship Type="http://schemas.openxmlformats.org/officeDocument/2006/relationships/theme" Target="/xl/theme/theme1.xml" Id="R780b723ba79c4f85" /><Relationship Type="http://schemas.openxmlformats.org/officeDocument/2006/relationships/sharedStrings" Target="/xl/sharedStrings.xml" Id="R991e2fab88374833" /><Relationship Type="http://schemas.openxmlformats.org/officeDocument/2006/relationships/worksheet" Target="/xl/worksheets/sheet1.xml" Id="Rca8b299478554196" /><Relationship Type="http://schemas.openxmlformats.org/officeDocument/2006/relationships/worksheet" Target="/xl/worksheets/sheet2.xml" Id="R136baf3cc0d149dc" /><Relationship Type="http://schemas.openxmlformats.org/officeDocument/2006/relationships/worksheet" Target="/xl/worksheets/sheet3.xml" Id="Re9c36d09427c46c1" /><Relationship Type="http://schemas.openxmlformats.org/officeDocument/2006/relationships/worksheet" Target="/xl/worksheets/sheet4.xml" Id="Ree806875dc9d4dfd" /><Relationship Type="http://schemas.openxmlformats.org/officeDocument/2006/relationships/worksheet" Target="/xl/worksheets/sheet5.xml" Id="Rabc69bee58e04c33" /><Relationship Type="http://schemas.openxmlformats.org/officeDocument/2006/relationships/worksheet" Target="/xl/worksheets/sheet6.xml" Id="Rabc2c3a50caa4153" /><Relationship Type="http://schemas.openxmlformats.org/officeDocument/2006/relationships/worksheet" Target="/xl/worksheets/sheet7.xml" Id="R65e7d7297d8c4b8b" /><Relationship Type="http://schemas.openxmlformats.org/officeDocument/2006/relationships/worksheet" Target="/xl/worksheets/sheet8.xml" Id="Rc7efa1686f3b4f5d" /><Relationship Type="http://schemas.openxmlformats.org/officeDocument/2006/relationships/worksheet" Target="/xl/worksheets/sheet9.xml" Id="Rb81f42f54d2f45e8" /><Relationship Type="http://schemas.openxmlformats.org/officeDocument/2006/relationships/worksheet" Target="/xl/worksheets/sheet10.xml" Id="R5e8eab446f424611" /><Relationship Type="http://schemas.openxmlformats.org/officeDocument/2006/relationships/worksheet" Target="/xl/worksheets/sheet11.xml" Id="R214e1b91b13d41f7" /><Relationship Type="http://schemas.openxmlformats.org/officeDocument/2006/relationships/worksheet" Target="/xl/worksheets/sheet12.xml" Id="Ra1f930fa67a44e6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2a25d4d078841a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Inherent Risk Distribution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Count</c:v>
          </c:tx>
          <c:cat>
            <c:strRef>
              <c:f>'Dashboard'!$D$5:$D$8</c:f>
              <c:strCache>
                <c:ptCount val="0"/>
              </c:strCache>
            </c:strRef>
          </c:cat>
          <c:val>
            <c:numRef>
              <c:f>'Dashboard'!$E$5:$E$8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a25d4d078841a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icrosoftAssets" displayName="MicrosoftAssets" ref="A4:I12" headerRowCount="1">
  <x:tableColumns count="9">
    <x:tableColumn id="1" name="Asset ID"/>
    <x:tableColumn id="2" name="Asset Name"/>
    <x:tableColumn id="3" name="Asset Type"/>
    <x:tableColumn id="4" name="Environment"/>
    <x:tableColumn id="5" name="Department"/>
    <x:tableColumn id="6" name="Criticality"/>
    <x:tableColumn id="7" name="Platform / OS"/>
    <x:tableColumn id="8" name="Hosting Model"/>
    <x:tableColumn id="9" name="Asset Owner"/>
  </x:tableColumns>
  <x:tableStyleInfo name="TableStyleMedium2" showRowStripes="1"/>
</x:table>
</file>

<file path=xl/tables/table2.xml><?xml version="1.0" encoding="utf-8"?>
<x:table xmlns:x="http://schemas.openxmlformats.org/spreadsheetml/2006/main" id="2" name="MicrosoftRiskRegister" displayName="MicrosoftRiskRegister" ref="A4:X16" headerRowCount="1">
  <x:tableColumns count="24">
    <x:tableColumn id="1" name="Risk ID"/>
    <x:tableColumn id="2" name="Risk Title"/>
    <x:tableColumn id="3" name="Risk Category"/>
    <x:tableColumn id="4" name="Affected Asset"/>
    <x:tableColumn id="5" name="Department"/>
    <x:tableColumn id="6" name="Risk Owner"/>
    <x:tableColumn id="7" name="Risk Scenario"/>
    <x:tableColumn id="8" name="Likelihood"/>
    <x:tableColumn id="9" name="Impact"/>
    <x:tableColumn id="10" name="Inherent Score"/>
    <x:tableColumn id="11" name="Inherent Level"/>
    <x:tableColumn id="12" name="Treatment Strategy"/>
    <x:tableColumn id="13" name="Selected Controls"/>
    <x:tableColumn id="14" name="Framework"/>
    <x:tableColumn id="15" name="Control Reference"/>
    <x:tableColumn id="16" name="Residual Likelihood"/>
    <x:tableColumn id="17" name="Residual Impact"/>
    <x:tableColumn id="18" name="Residual Score"/>
    <x:tableColumn id="19" name="Residual Level"/>
    <x:tableColumn id="20" name="Status"/>
    <x:tableColumn id="21" name="Created Date"/>
    <x:tableColumn id="22" name="Next Review Date"/>
    <x:tableColumn id="23" name="Evidence Reference"/>
    <x:tableColumn id="2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MicrosoftTreatments" displayName="MicrosoftTreatments" ref="A4:O16" headerRowCount="1">
  <x:tableColumns count="15">
    <x:tableColumn id="1" name="Treatment ID"/>
    <x:tableColumn id="2" name="Risk ID"/>
    <x:tableColumn id="3" name="Action"/>
    <x:tableColumn id="4" name="Action Type"/>
    <x:tableColumn id="5" name="Control Owner"/>
    <x:tableColumn id="6" name="Priority"/>
    <x:tableColumn id="7" name="Planned Start"/>
    <x:tableColumn id="8" name="Due Date"/>
    <x:tableColumn id="9" name="Estimated Cost (USD)"/>
    <x:tableColumn id="10" name="Expected Risk Reduction %"/>
    <x:tableColumn id="11" name="Progress %"/>
    <x:tableColumn id="12" name="Status"/>
    <x:tableColumn id="13" name="Dependency"/>
    <x:tableColumn id="14" name="Evidence Required"/>
    <x:tableColumn id="15" name="Last Updated"/>
  </x:tableColumns>
  <x:tableStyleInfo name="TableStyleMedium2" showRowStripes="1"/>
</x:table>
</file>

<file path=xl/tables/table4.xml><?xml version="1.0" encoding="utf-8"?>
<x:table xmlns:x="http://schemas.openxmlformats.org/spreadsheetml/2006/main" id="4" name="MicrosoftControls" displayName="MicrosoftControls" ref="A4:M16" headerRowCount="1">
  <x:tableColumns count="13">
    <x:tableColumn id="1" name="Control ID"/>
    <x:tableColumn id="2" name="Control Name"/>
    <x:tableColumn id="3" name="Control Domain"/>
    <x:tableColumn id="4" name="Framework"/>
    <x:tableColumn id="5" name="Control Objective"/>
    <x:tableColumn id="6" name="Implementation Status"/>
    <x:tableColumn id="7" name="Effectiveness %"/>
    <x:tableColumn id="8" name="Control Owner"/>
    <x:tableColumn id="9" name="Test Frequency"/>
    <x:tableColumn id="10" name="Last Test Date"/>
    <x:tableColumn id="11" name="Next Test Date"/>
    <x:tableColumn id="12" name="Evidence Reference"/>
    <x:tableColumn id="13" name="Related Risk IDs"/>
  </x:tableColumns>
  <x:tableStyleInfo name="TableStyleMedium2" showRowStripes="1"/>
</x:table>
</file>

<file path=xl/tables/table5.xml><?xml version="1.0" encoding="utf-8"?>
<x:table xmlns:x="http://schemas.openxmlformats.org/spreadsheetml/2006/main" id="5" name="MicrosoftKRIRegister" displayName="MicrosoftKRIRegister" ref="A4:Q16" headerRowCount="1">
  <x:tableColumns count="17">
    <x:tableColumn id="1" name="KRI ID"/>
    <x:tableColumn id="2" name="Risk ID"/>
    <x:tableColumn id="3" name="KRI Name"/>
    <x:tableColumn id="4" name="Department"/>
    <x:tableColumn id="5" name="Owner"/>
    <x:tableColumn id="6" name="Frequency"/>
    <x:tableColumn id="7" name="Unit"/>
    <x:tableColumn id="8" name="Formula / Measurement Logic"/>
    <x:tableColumn id="9" name="Target"/>
    <x:tableColumn id="10" name="Warning Threshold"/>
    <x:tableColumn id="11" name="Critical Threshold"/>
    <x:tableColumn id="12" name="Current Value"/>
    <x:tableColumn id="13" name="Status"/>
    <x:tableColumn id="14" name="Data Source"/>
    <x:tableColumn id="15" name="Last Updated"/>
    <x:tableColumn id="16" name="Evidence"/>
    <x:tableColumn id="17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MicrosoftKRIMeasurements" displayName="MicrosoftKRIMeasurements" ref="A4:K76" headerRowCount="1">
  <x:tableColumns count="11">
    <x:tableColumn id="1" name="Measurement ID"/>
    <x:tableColumn id="2" name="KRI ID"/>
    <x:tableColumn id="3" name="Measurement Date"/>
    <x:tableColumn id="4" name="Reporting Period"/>
    <x:tableColumn id="5" name="Value"/>
    <x:tableColumn id="6" name="Unit"/>
    <x:tableColumn id="7" name="Calculated Status"/>
    <x:tableColumn id="8" name="Measured By"/>
    <x:tableColumn id="9" name="Data Source"/>
    <x:tableColumn id="10" name="Evidence Reference"/>
    <x:tableColumn id="11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MicrosoftRoles" displayName="MicrosoftRoles" ref="A4:H11" headerRowCount="1">
  <x:tableColumns count="8">
    <x:tableColumn id="1" name="Role ID"/>
    <x:tableColumn id="2" name="Role"/>
    <x:tableColumn id="3" name="Function"/>
    <x:tableColumn id="4" name="Primary Responsibilities"/>
    <x:tableColumn id="5" name="Decision Authority"/>
    <x:tableColumn id="6" name="Escalates To"/>
    <x:tableColumn id="7" name="Review Cadence"/>
    <x:tableColumn id="8" name="Evidence / Output"/>
  </x:tableColumns>
  <x:tableStyleInfo name="TableStyleMedium2" showRowStripes="1"/>
</x:table>
</file>

<file path=xl/tables/table8.xml><?xml version="1.0" encoding="utf-8"?>
<x:table xmlns:x="http://schemas.openxmlformats.org/spreadsheetml/2006/main" id="8" name="MicrosoftCostBenefit" displayName="MicrosoftCostBenefit" ref="A4:K52" headerRowCount="1">
  <x:tableColumns count="11">
    <x:tableColumn id="1" name="Option ID"/>
    <x:tableColumn id="2" name="Risk ID"/>
    <x:tableColumn id="3" name="Treatment Option"/>
    <x:tableColumn id="4" name="Description"/>
    <x:tableColumn id="5" name="Estimated One-Time Cost (USD)"/>
    <x:tableColumn id="6" name="Annual Cost (USD)"/>
    <x:tableColumn id="7" name="Expected Score Reduction"/>
    <x:tableColumn id="8" name="Implementation Time (Days)"/>
    <x:tableColumn id="9" name="Operational Complexity"/>
    <x:tableColumn id="10" name="Selected"/>
    <x:tableColumn id="11" name="Decision Rationale"/>
  </x:tableColumns>
  <x:tableStyleInfo name="TableStyleMedium2" showRowStripes="1"/>
</x:table>
</file>

<file path=xl/tables/table9.xml><?xml version="1.0" encoding="utf-8"?>
<x:table xmlns:x="http://schemas.openxmlformats.org/spreadsheetml/2006/main" id="9" name="MicrosoftEvidence" displayName="MicrosoftEvidence" ref="A4:L16" headerRowCount="1">
  <x:tableColumns count="12">
    <x:tableColumn id="1" name="Evidence ID"/>
    <x:tableColumn id="2" name="Related Record Type"/>
    <x:tableColumn id="3" name="Related Record ID"/>
    <x:tableColumn id="4" name="Evidence Type"/>
    <x:tableColumn id="5" name="File Name / Reference"/>
    <x:tableColumn id="6" name="Description"/>
    <x:tableColumn id="7" name="Owner"/>
    <x:tableColumn id="8" name="Collection Date"/>
    <x:tableColumn id="9" name="Review Status"/>
    <x:tableColumn id="10" name="Reviewer"/>
    <x:tableColumn id="11" name="Retention Until"/>
    <x:tableColumn id="12" name="Confidential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a715784f9f44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b287bbbc004a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b926fb790d4c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1068222f124b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2aed8662eb47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6f1412595a240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212398e627549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27d1bafbeb7408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f35ea409ba340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c99a3c740c984ad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 ht="34" customHeight="1">
      <x:c r="A1" s="5" t="str">
        <x:v>Microsoft - Synthetic Risk Assessment Dataset</x:v>
      </x:c>
      <x:c r="B1" s="5"/>
      <x:c r="C1" s="5"/>
      <x:c r="D1" s="5"/>
      <x:c r="E1" s="5"/>
      <x:c r="F1" s="5"/>
      <x:c r="G1" s="5"/>
      <x:c r="H1" s="5"/>
    </x:row>
    <x:row r="2" ht="26" customHeight="1">
      <x:c r="A2" s="12" t="str">
        <x:v>Fictional training data for GRCx/Cursor prototyping. This is not an official assessment and does not describe real incidents.</x:v>
      </x:c>
      <x:c r="B2" s="12"/>
      <x:c r="C2" s="12"/>
      <x:c r="D2" s="12"/>
      <x:c r="E2" s="12"/>
      <x:c r="F2" s="12"/>
      <x:c r="G2" s="12"/>
      <x:c r="H2" s="12"/>
    </x:row>
    <x:row r="4">
      <x:c r="A4" s="17" t="str">
        <x:v>Dataset Classification</x:v>
      </x:c>
      <x:c r="B4" s="21" t="str">
        <x:v>Synthetic / Training Use Only</x:v>
      </x:c>
    </x:row>
    <x:row r="5">
      <x:c r="A5" s="17" t="str">
        <x:v>Organization Label</x:v>
      </x:c>
      <x:c r="B5" s="21" t="str">
        <x:v>Microsoft</x:v>
      </x:c>
    </x:row>
    <x:row r="6">
      <x:c r="A6" s="17" t="str">
        <x:v>Intended Use</x:v>
      </x:c>
      <x:c r="B6" s="21" t="str">
        <x:v>GRCx frontend, backend, database, import/export, risk scoring, KRI, evidence, and reporting tests.</x:v>
      </x:c>
    </x:row>
    <x:row r="7">
      <x:c r="A7" s="17" t="str">
        <x:v>Data Disclaimer</x:v>
      </x:c>
      <x:c r="B7" s="21" t="str">
        <x:v>All risks, assets, people, costs, dates, evidence references, and decisions are fictional.</x:v>
      </x:c>
    </x:row>
    <x:row r="8">
      <x:c r="A8" s="17" t="str">
        <x:v>Dataset Structure</x:v>
      </x:c>
      <x:c r="B8" s="21" t="str">
        <x:v>Asset inventory, risk register, controls, treatment plans, residual risk, KRIs, evidence, ownership, cost-benefit analysis, and monitoring history.</x:v>
      </x:c>
    </x:row>
    <x:row r="9">
      <x:c r="A9" s="17" t="str">
        <x:v>Primary Record Keys</x:v>
      </x:c>
      <x:c r="B9" s="21" t="str">
        <x:v>Risk ID, Treatment ID, Control ID, KRI ID, Measurement ID, and Evidence ID.</x:v>
      </x:c>
    </x:row>
    <x:row r="10">
      <x:c r="A10" s="17" t="str">
        <x:v>Risk Scoring Method</x:v>
      </x:c>
      <x:c r="B10" s="21" t="str">
        <x:v>Risk Score = Likelihood × Impact using a 1–5 scale.</x:v>
      </x:c>
    </x:row>
    <x:row r="11">
      <x:c r="A11" s="17" t="str">
        <x:v>Risk Level Thresholds</x:v>
      </x:c>
      <x:c r="B11" s="21" t="str">
        <x:v>1–4 Low; 5–9 Medium; 10–14 High; 15–25 Critical.</x:v>
      </x:c>
    </x:row>
    <x:row r="12">
      <x:c r="A12" s="17" t="str">
        <x:v>Usage Restriction</x:v>
      </x:c>
      <x:c r="B12" s="21" t="str">
        <x:v>Do not treat this workbook as an official assessment of the named organization.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20" hidden="0" customWidth="1"/>
    <x:col min="4" max="4" width="15" hidden="0" customWidth="1"/>
    <x:col min="5" max="5" width="22" hidden="0" customWidth="1"/>
    <x:col min="6" max="6" width="14" hidden="0" customWidth="1"/>
    <x:col min="7" max="7" width="18" hidden="0" customWidth="1"/>
    <x:col min="8" max="8" width="16" hidden="0" customWidth="1"/>
    <x:col min="9" max="9" width="22" hidden="0" customWidth="1"/>
  </x:cols>
  <x:sheetData>
    <x:row r="1" ht="34" customHeight="1">
      <x:c r="A1" s="5" t="str">
        <x:v>Microsoft Asset Inventory</x:v>
      </x:c>
      <x:c r="B1" s="5"/>
      <x:c r="C1" s="5"/>
      <x:c r="D1" s="5"/>
      <x:c r="E1" s="5"/>
      <x:c r="F1" s="5"/>
      <x:c r="G1" s="5"/>
      <x:c r="H1" s="5"/>
      <x:c r="I1" s="5"/>
    </x:row>
    <x:row r="2" ht="26" customHeight="1">
      <x:c r="A2" s="12" t="str">
        <x:v>Synthetic in-scope assets used by the risk register.</x:v>
      </x:c>
      <x:c r="B2" s="12"/>
      <x:c r="C2" s="12"/>
      <x:c r="D2" s="12"/>
      <x:c r="E2" s="12"/>
      <x:c r="F2" s="12"/>
      <x:c r="G2" s="12"/>
      <x:c r="H2" s="12"/>
      <x:c r="I2" s="12"/>
    </x:row>
    <x:row r="4" ht="34" customHeight="1">
      <x:c r="A4" s="28" t="str">
        <x:v>Asset ID</x:v>
      </x:c>
      <x:c r="B4" s="28" t="str">
        <x:v>Asset Name</x:v>
      </x:c>
      <x:c r="C4" s="28" t="str">
        <x:v>Asset Type</x:v>
      </x:c>
      <x:c r="D4" s="28" t="str">
        <x:v>Environment</x:v>
      </x:c>
      <x:c r="E4" s="28" t="str">
        <x:v>Business Unit</x:v>
      </x:c>
      <x:c r="F4" s="28" t="str">
        <x:v>Asset Criticality</x:v>
      </x:c>
      <x:c r="G4" s="28" t="str">
        <x:v>Platform / Operating System</x:v>
      </x:c>
      <x:c r="H4" s="28" t="str">
        <x:v>Hosting Model</x:v>
      </x:c>
      <x:c r="I4" s="28" t="str">
        <x:v>Asset Owner</x:v>
      </x:c>
    </x:row>
    <x:row r="5">
      <x:c r="A5" s="36" t="str">
        <x:v>AST-MST-001</x:v>
      </x:c>
      <x:c r="B5" s="36" t="str">
        <x:v>Entra ID Tenant</x:v>
      </x:c>
      <x:c r="C5" s="36" t="str">
        <x:v>Identity Service</x:v>
      </x:c>
      <x:c r="D5" s="36" t="str">
        <x:v>Production</x:v>
      </x:c>
      <x:c r="E5" s="36" t="str">
        <x:v>Identity</x:v>
      </x:c>
      <x:c r="F5" s="36" t="str">
        <x:v>Critical</x:v>
      </x:c>
      <x:c r="G5" s="36" t="str">
        <x:v>N/A</x:v>
      </x:c>
      <x:c r="H5" s="36" t="str">
        <x:v>Cloud</x:v>
      </x:c>
      <x:c r="I5" s="36" t="str">
        <x:v>Identity Team</x:v>
      </x:c>
    </x:row>
    <x:row r="6">
      <x:c r="A6" s="36" t="str">
        <x:v>AST-MST-002</x:v>
      </x:c>
      <x:c r="B6" s="36" t="str">
        <x:v>Microsoft 365 Tenant</x:v>
      </x:c>
      <x:c r="C6" s="36" t="str">
        <x:v>SaaS Platform</x:v>
      </x:c>
      <x:c r="D6" s="36" t="str">
        <x:v>Production</x:v>
      </x:c>
      <x:c r="E6" s="36" t="str">
        <x:v>Modern Workplace</x:v>
      </x:c>
      <x:c r="F6" s="36" t="str">
        <x:v>Critical</x:v>
      </x:c>
      <x:c r="G6" s="36" t="str">
        <x:v>N/A</x:v>
      </x:c>
      <x:c r="H6" s="36" t="str">
        <x:v>Cloud</x:v>
      </x:c>
      <x:c r="I6" s="36" t="str">
        <x:v>M365 Operations</x:v>
      </x:c>
    </x:row>
    <x:row r="7">
      <x:c r="A7" s="36" t="str">
        <x:v>AST-MST-003</x:v>
      </x:c>
      <x:c r="B7" s="36" t="str">
        <x:v>Sentinel Workspace</x:v>
      </x:c>
      <x:c r="C7" s="36" t="str">
        <x:v>SIEM</x:v>
      </x:c>
      <x:c r="D7" s="36" t="str">
        <x:v>Production</x:v>
      </x:c>
      <x:c r="E7" s="36" t="str">
        <x:v>Security Operations</x:v>
      </x:c>
      <x:c r="F7" s="36" t="str">
        <x:v>High</x:v>
      </x:c>
      <x:c r="G7" s="36" t="str">
        <x:v>N/A</x:v>
      </x:c>
      <x:c r="H7" s="36" t="str">
        <x:v>Cloud</x:v>
      </x:c>
      <x:c r="I7" s="36" t="str">
        <x:v>SOC Platform</x:v>
      </x:c>
    </x:row>
    <x:row r="8">
      <x:c r="A8" s="36" t="str">
        <x:v>AST-MST-004</x:v>
      </x:c>
      <x:c r="B8" s="36" t="str">
        <x:v>Azure Key Vault</x:v>
      </x:c>
      <x:c r="C8" s="36" t="str">
        <x:v>Secrets Vault</x:v>
      </x:c>
      <x:c r="D8" s="36" t="str">
        <x:v>Production</x:v>
      </x:c>
      <x:c r="E8" s="36" t="str">
        <x:v>Cloud Security</x:v>
      </x:c>
      <x:c r="F8" s="36" t="str">
        <x:v>Critical</x:v>
      </x:c>
      <x:c r="G8" s="36" t="str">
        <x:v>N/A</x:v>
      </x:c>
      <x:c r="H8" s="36" t="str">
        <x:v>Cloud</x:v>
      </x:c>
      <x:c r="I8" s="36" t="str">
        <x:v>Cloud Security</x:v>
      </x:c>
    </x:row>
    <x:row r="9">
      <x:c r="A9" s="36" t="str">
        <x:v>AST-MST-005</x:v>
      </x:c>
      <x:c r="B9" s="36" t="str">
        <x:v>AKS Production Cluster</x:v>
      </x:c>
      <x:c r="C9" s="36" t="str">
        <x:v>Container Platform</x:v>
      </x:c>
      <x:c r="D9" s="36" t="str">
        <x:v>Production</x:v>
      </x:c>
      <x:c r="E9" s="36" t="str">
        <x:v>Infrastructure</x:v>
      </x:c>
      <x:c r="F9" s="36" t="str">
        <x:v>Critical</x:v>
      </x:c>
      <x:c r="G9" s="36" t="str">
        <x:v>Linux</x:v>
      </x:c>
      <x:c r="H9" s="36" t="str">
        <x:v>Cloud</x:v>
      </x:c>
      <x:c r="I9" s="36" t="str">
        <x:v>Cloud Platform</x:v>
      </x:c>
    </x:row>
    <x:row r="10">
      <x:c r="A10" s="36" t="str">
        <x:v>AST-MST-006</x:v>
      </x:c>
      <x:c r="B10" s="36" t="str">
        <x:v>Azure DevOps Organization</x:v>
      </x:c>
      <x:c r="C10" s="36" t="str">
        <x:v>DevOps Platform</x:v>
      </x:c>
      <x:c r="D10" s="36" t="str">
        <x:v>Production</x:v>
      </x:c>
      <x:c r="E10" s="36" t="str">
        <x:v>DevOps</x:v>
      </x:c>
      <x:c r="F10" s="36" t="str">
        <x:v>High</x:v>
      </x:c>
      <x:c r="G10" s="36" t="str">
        <x:v>N/A</x:v>
      </x:c>
      <x:c r="H10" s="36" t="str">
        <x:v>Cloud</x:v>
      </x:c>
      <x:c r="I10" s="36" t="str">
        <x:v>DevSecOps</x:v>
      </x:c>
    </x:row>
    <x:row r="11">
      <x:c r="A11" s="36" t="str">
        <x:v>AST-MST-007</x:v>
      </x:c>
      <x:c r="B11" s="36" t="str">
        <x:v>Intune Device Estate</x:v>
      </x:c>
      <x:c r="C11" s="36" t="str">
        <x:v>Endpoint Management</x:v>
      </x:c>
      <x:c r="D11" s="36" t="str">
        <x:v>Production</x:v>
      </x:c>
      <x:c r="E11" s="36" t="str">
        <x:v>Modern Workplace</x:v>
      </x:c>
      <x:c r="F11" s="36" t="str">
        <x:v>High</x:v>
      </x:c>
      <x:c r="G11" s="36" t="str">
        <x:v>Windows/macOS</x:v>
      </x:c>
      <x:c r="H11" s="36" t="str">
        <x:v>Cloud</x:v>
      </x:c>
      <x:c r="I11" s="36" t="str">
        <x:v>Endpoint Management</x:v>
      </x:c>
    </x:row>
    <x:row r="12">
      <x:c r="A12" s="36" t="str">
        <x:v>AST-MST-008</x:v>
      </x:c>
      <x:c r="B12" s="36" t="str">
        <x:v>Power Platform Environment</x:v>
      </x:c>
      <x:c r="C12" s="36" t="str">
        <x:v>Low-Code Platform</x:v>
      </x:c>
      <x:c r="D12" s="36" t="str">
        <x:v>Production</x:v>
      </x:c>
      <x:c r="E12" s="36" t="str">
        <x:v>Data Protection</x:v>
      </x:c>
      <x:c r="F12" s="36" t="str">
        <x:v>High</x:v>
      </x:c>
      <x:c r="G12" s="36" t="str">
        <x:v>N/A</x:v>
      </x:c>
      <x:c r="H12" s="36" t="str">
        <x:v>Cloud</x:v>
      </x:c>
      <x:c r="I12" s="36" t="str">
        <x:v>Business Applications</x:v>
      </x:c>
    </x:row>
  </x:sheetData>
  <x:mergeCells>
    <x:mergeCell ref="A1:I1"/>
    <x:mergeCell ref="A2:I2"/>
  </x:mergeCells>
  <x:conditionalFormatting sqref="A5:I12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9a715784f9f44d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0" hidden="0" customWidth="1"/>
    <x:col min="4" max="4" width="24" hidden="0" customWidth="1"/>
    <x:col min="5" max="5" width="20" hidden="0" customWidth="1"/>
    <x:col min="6" max="6" width="14" hidden="0" customWidth="1"/>
    <x:col min="7" max="7" width="48" hidden="0" customWidth="1"/>
    <x:col min="8" max="8" width="11" hidden="0" customWidth="1"/>
    <x:col min="9" max="9" width="11" hidden="0" customWidth="1"/>
    <x:col min="10" max="10" width="13" hidden="0" customWidth="1"/>
    <x:col min="11" max="11" width="15" hidden="0" customWidth="1"/>
    <x:col min="12" max="12" width="18" hidden="0" customWidth="1"/>
    <x:col min="13" max="13" width="52" hidden="0" customWidth="1"/>
    <x:col min="14" max="14" width="20" hidden="0" customWidth="1"/>
    <x:col min="15" max="15" width="24" hidden="0" customWidth="1"/>
    <x:col min="16" max="16" width="14" hidden="0" customWidth="1"/>
    <x:col min="17" max="17" width="14" hidden="0" customWidth="1"/>
    <x:col min="18" max="18" width="13" hidden="0" customWidth="1"/>
    <x:col min="19" max="19" width="15" hidden="0" customWidth="1"/>
    <x:col min="20" max="20" width="17" hidden="0" customWidth="1"/>
    <x:col min="21" max="21" width="14" hidden="0" customWidth="1"/>
    <x:col min="22" max="22" width="14" hidden="0" customWidth="1"/>
    <x:col min="23" max="23" width="18" hidden="0" customWidth="1"/>
    <x:col min="24" max="24" width="30" hidden="0" customWidth="1"/>
  </x:cols>
  <x:sheetData>
    <x:row r="1" ht="34" customHeight="1">
      <x:c r="A1" s="5" t="str">
        <x:v>Microsoft Risk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</x:row>
    <x:row r="2" ht="26" customHeight="1">
      <x:c r="A2" s="12" t="str">
        <x:v>Synthetic risk cases with inherent and residual scoring, treatment, controls, ownership, status, and evidence references.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</x:row>
    <x:row r="4" ht="34" customHeight="1">
      <x:c r="A4" s="28" t="str">
        <x:v>Risk ID</x:v>
      </x:c>
      <x:c r="B4" s="28" t="str">
        <x:v>Risk Title</x:v>
      </x:c>
      <x:c r="C4" s="28" t="str">
        <x:v>Risk Category</x:v>
      </x:c>
      <x:c r="D4" s="28" t="str">
        <x:v>Affected Asset</x:v>
      </x:c>
      <x:c r="E4" s="28" t="str">
        <x:v>Business Unit</x:v>
      </x:c>
      <x:c r="F4" s="28" t="str">
        <x:v>Risk Owner</x:v>
      </x:c>
      <x:c r="G4" s="28" t="str">
        <x:v>Risk Scenario / Description</x:v>
      </x:c>
      <x:c r="H4" s="28" t="str">
        <x:v>Inherent Likelihood</x:v>
      </x:c>
      <x:c r="I4" s="28" t="str">
        <x:v>Inherent Impact</x:v>
      </x:c>
      <x:c r="J4" s="28" t="str">
        <x:v>Inherent Risk Score</x:v>
      </x:c>
      <x:c r="K4" s="28" t="str">
        <x:v>Inherent Risk Level</x:v>
      </x:c>
      <x:c r="L4" s="28" t="str">
        <x:v>Treatment Strategy</x:v>
      </x:c>
      <x:c r="M4" s="28" t="str">
        <x:v>Planned Risk Controls</x:v>
      </x:c>
      <x:c r="N4" s="28" t="str">
        <x:v>Applicable Framework</x:v>
      </x:c>
      <x:c r="O4" s="28" t="str">
        <x:v>Framework Control Reference</x:v>
      </x:c>
      <x:c r="P4" s="28" t="str">
        <x:v>Residual Likelihood</x:v>
      </x:c>
      <x:c r="Q4" s="28" t="str">
        <x:v>Residual Impact</x:v>
      </x:c>
      <x:c r="R4" s="28" t="str">
        <x:v>Residual Risk Score</x:v>
      </x:c>
      <x:c r="S4" s="28" t="str">
        <x:v>Residual Risk Level</x:v>
      </x:c>
      <x:c r="T4" s="28" t="str">
        <x:v>Risk Workflow Status</x:v>
      </x:c>
      <x:c r="U4" s="28" t="str">
        <x:v>Date Identified</x:v>
      </x:c>
      <x:c r="V4" s="28" t="str">
        <x:v>Next Review Date</x:v>
      </x:c>
      <x:c r="W4" s="28" t="str">
        <x:v>Evidence ID</x:v>
      </x:c>
      <x:c r="X4" s="28" t="str">
        <x:v>Additional Notes</x:v>
      </x:c>
    </x:row>
    <x:row r="5">
      <x:c r="A5" s="36" t="str">
        <x:v>RISK-MST-001</x:v>
      </x:c>
      <x:c r="B5" s="36" t="str">
        <x:v>Conditional Access exclusion misuse</x:v>
      </x:c>
      <x:c r="C5" s="36" t="str">
        <x:v>Identity and Access</x:v>
      </x:c>
      <x:c r="D5" s="36" t="str">
        <x:v>Entra ID Tenant</x:v>
      </x:c>
      <x:c r="E5" s="36" t="str">
        <x:v>Identity</x:v>
      </x:c>
      <x:c r="F5" s="36" t="str">
        <x:v>Lama</x:v>
      </x:c>
      <x:c r="G5" s="36" t="str">
        <x:v>An emergency or legacy exclusion is expanded and permits risky sign-ins without MFA or device controls.</x:v>
      </x:c>
      <x:c r="H5" s="36" t="n">
        <x:v>3</x:v>
      </x:c>
      <x:c r="I5" s="36" t="n">
        <x:v>5</x:v>
      </x:c>
      <x:c r="J5" s="36" t="n">
        <x:f>H5*I5</x:f>
        <x:v>15</x:v>
      </x:c>
      <x:c r="K5" s="36" t="str">
        <x:f>IF(J5&gt;=15,"Critical",IF(J5&gt;=10,"High",IF(J5&gt;=5,"Medium","Low")))</x:f>
        <x:v>Critical</x:v>
      </x:c>
      <x:c r="L5" s="36" t="str">
        <x:v>Mitigate</x:v>
      </x:c>
      <x:c r="M5" s="36" t="str">
        <x:v>Named break-glass accounts, exclusion monitoring, approval workflow, and monthly policy review.</x:v>
      </x:c>
      <x:c r="N5" s="36" t="str">
        <x:v>NCA ECC</x:v>
      </x:c>
      <x:c r="O5" s="36" t="str">
        <x:v>IAM-05 Conditional Access</x:v>
      </x:c>
      <x:c r="P5" s="36" t="n">
        <x:v>2</x:v>
      </x:c>
      <x:c r="Q5" s="36" t="n">
        <x:v>3</x:v>
      </x:c>
      <x:c r="R5" s="36" t="n">
        <x:f>P5*Q5</x:f>
        <x:v>6</x:v>
      </x:c>
      <x:c r="S5" s="36" t="str">
        <x:f>IF(R5&gt;=15,"Critical",IF(R5&gt;=10,"High",IF(R5&gt;=5,"Medium","Low")))</x:f>
        <x:v>Medium</x:v>
      </x:c>
      <x:c r="T5" s="36" t="str">
        <x:v>Open</x:v>
      </x:c>
      <x:c r="U5" s="40" t="n">
        <x:v>46193</x:v>
      </x:c>
      <x:c r="V5" s="40" t="n">
        <x:v>46241</x:v>
      </x:c>
      <x:c r="W5" s="36" t="str">
        <x:v>EVD-MIC-001</x:v>
      </x:c>
      <x:c r="X5" s="36" t="str">
        <x:v>Synthetic record for application testing.</x:v>
      </x:c>
    </x:row>
    <x:row r="6">
      <x:c r="A6" s="36" t="str">
        <x:v>RISK-MST-002</x:v>
      </x:c>
      <x:c r="B6" s="36" t="str">
        <x:v>OAuth application consent abuse</x:v>
      </x:c>
      <x:c r="C6" s="36" t="str">
        <x:v>Identity and Access</x:v>
      </x:c>
      <x:c r="D6" s="36" t="str">
        <x:v>Microsoft 365 Tenant</x:v>
      </x:c>
      <x:c r="E6" s="36" t="str">
        <x:v>Identity</x:v>
      </x:c>
      <x:c r="F6" s="36" t="str">
        <x:v>Yousef</x:v>
      </x:c>
      <x:c r="G6" s="36" t="str">
        <x:v>A malicious application receives delegated access to mail or files through unsafe consent.</x:v>
      </x:c>
      <x:c r="H6" s="36" t="n">
        <x:v>3</x:v>
      </x:c>
      <x:c r="I6" s="36" t="n">
        <x:v>5</x:v>
      </x:c>
      <x:c r="J6" s="36" t="n">
        <x:f>H6*I6</x:f>
        <x:v>15</x:v>
      </x:c>
      <x:c r="K6" s="36" t="str">
        <x:f>IF(J6&gt;=15,"Critical",IF(J6&gt;=10,"High",IF(J6&gt;=5,"Medium","Low")))</x:f>
        <x:v>Critical</x:v>
      </x:c>
      <x:c r="L6" s="36" t="str">
        <x:v>Mitigate</x:v>
      </x:c>
      <x:c r="M6" s="36" t="str">
        <x:v>Admin consent workflow, publisher verification, consent policies, and app permission reviews.</x:v>
      </x:c>
      <x:c r="N6" s="36" t="str">
        <x:v>ISO 27001</x:v>
      </x:c>
      <x:c r="O6" s="36" t="str">
        <x:v>A.5.15 Access Control</x:v>
      </x:c>
      <x:c r="P6" s="36" t="n">
        <x:v>2</x:v>
      </x:c>
      <x:c r="Q6" s="36" t="n">
        <x:v>3</x:v>
      </x:c>
      <x:c r="R6" s="36" t="n">
        <x:f>P6*Q6</x:f>
        <x:v>6</x:v>
      </x:c>
      <x:c r="S6" s="36" t="str">
        <x:f>IF(R6&gt;=15,"Critical",IF(R6&gt;=10,"High",IF(R6&gt;=5,"Medium","Low")))</x:f>
        <x:v>Medium</x:v>
      </x:c>
      <x:c r="T6" s="36" t="str">
        <x:v>In Progress</x:v>
      </x:c>
      <x:c r="U6" s="40" t="n">
        <x:v>46182</x:v>
      </x:c>
      <x:c r="V6" s="40" t="n">
        <x:v>46248</x:v>
      </x:c>
      <x:c r="W6" s="36" t="str">
        <x:v>EVD-MIC-002</x:v>
      </x:c>
      <x:c r="X6" s="36" t="str">
        <x:v>Synthetic record for application testing.</x:v>
      </x:c>
    </x:row>
    <x:row r="7">
      <x:c r="A7" s="36" t="str">
        <x:v>RISK-MST-003</x:v>
      </x:c>
      <x:c r="B7" s="36" t="str">
        <x:v>Key Vault secret exposure</x:v>
      </x:c>
      <x:c r="C7" s="36" t="str">
        <x:v>Secrets Management</x:v>
      </x:c>
      <x:c r="D7" s="36" t="str">
        <x:v>Azure Key Vault</x:v>
      </x:c>
      <x:c r="E7" s="36" t="str">
        <x:v>Cloud Security</x:v>
      </x:c>
      <x:c r="F7" s="36" t="str">
        <x:v>Rasha</x:v>
      </x:c>
      <x:c r="G7" s="36" t="str">
        <x:v>A workload identity is granted excessive rights and retrieves secrets outside its operational scope.</x:v>
      </x:c>
      <x:c r="H7" s="36" t="n">
        <x:v>3</x:v>
      </x:c>
      <x:c r="I7" s="36" t="n">
        <x:v>5</x:v>
      </x:c>
      <x:c r="J7" s="36" t="n">
        <x:f>H7*I7</x:f>
        <x:v>15</x:v>
      </x:c>
      <x:c r="K7" s="36" t="str">
        <x:f>IF(J7&gt;=15,"Critical",IF(J7&gt;=10,"High",IF(J7&gt;=5,"Medium","Low")))</x:f>
        <x:v>Critical</x:v>
      </x:c>
      <x:c r="L7" s="36" t="str">
        <x:v>Mitigate</x:v>
      </x:c>
      <x:c r="M7" s="36" t="str">
        <x:v>RBAC scoping, managed identities, private endpoints, alerting, and secret rotation.</x:v>
      </x:c>
      <x:c r="N7" s="36" t="str">
        <x:v>NCA CCC</x:v>
      </x:c>
      <x:c r="O7" s="36" t="str">
        <x:v>CLOUD-09 Secrets Management</x:v>
      </x:c>
      <x:c r="P7" s="36" t="n">
        <x:v>2</x:v>
      </x:c>
      <x:c r="Q7" s="36" t="n">
        <x:v>2</x:v>
      </x:c>
      <x:c r="R7" s="36" t="n">
        <x:f>P7*Q7</x:f>
        <x:v>4</x:v>
      </x:c>
      <x:c r="S7" s="36" t="str">
        <x:f>IF(R7&gt;=15,"Critical",IF(R7&gt;=10,"High",IF(R7&gt;=5,"Medium","Low")))</x:f>
        <x:v>Low</x:v>
      </x:c>
      <x:c r="T7" s="36" t="str">
        <x:v>Open</x:v>
      </x:c>
      <x:c r="U7" s="40" t="n">
        <x:v>46171</x:v>
      </x:c>
      <x:c r="V7" s="40" t="n">
        <x:v>46255</x:v>
      </x:c>
      <x:c r="W7" s="36" t="str">
        <x:v>EVD-MIC-003</x:v>
      </x:c>
      <x:c r="X7" s="36" t="str">
        <x:v>Synthetic record for application testing.</x:v>
      </x:c>
    </x:row>
    <x:row r="8">
      <x:c r="A8" s="36" t="str">
        <x:v>RISK-MST-004</x:v>
      </x:c>
      <x:c r="B8" s="36" t="str">
        <x:v>Sentinel data connector failure</x:v>
      </x:c>
      <x:c r="C8" s="36" t="str">
        <x:v>Monitoring</x:v>
      </x:c>
      <x:c r="D8" s="36" t="str">
        <x:v>Sentinel Workspace</x:v>
      </x:c>
      <x:c r="E8" s="36" t="str">
        <x:v>Security Operations</x:v>
      </x:c>
      <x:c r="F8" s="36" t="str">
        <x:v>Faisal</x:v>
      </x:c>
      <x:c r="G8" s="36" t="str">
        <x:v>A connector silently stops, causing detection blind spots for a critical source.</x:v>
      </x:c>
      <x:c r="H8" s="36" t="n">
        <x:v>4</x:v>
      </x:c>
      <x:c r="I8" s="36" t="n">
        <x:v>4</x:v>
      </x:c>
      <x:c r="J8" s="36" t="n">
        <x:f>H8*I8</x:f>
        <x:v>16</x:v>
      </x:c>
      <x:c r="K8" s="36" t="str">
        <x:f>IF(J8&gt;=15,"Critical",IF(J8&gt;=10,"High",IF(J8&gt;=5,"Medium","Low")))</x:f>
        <x:v>Critical</x:v>
      </x:c>
      <x:c r="L8" s="36" t="str">
        <x:v>Mitigate</x:v>
      </x:c>
      <x:c r="M8" s="36" t="str">
        <x:v>Connector health analytics, ingestion SLA alerts, heartbeat rules, and daily coverage checks.</x:v>
      </x:c>
      <x:c r="N8" s="36" t="str">
        <x:v>NCA ECC</x:v>
      </x:c>
      <x:c r="O8" s="36" t="str">
        <x:v>MON-02 Security Monitoring</x:v>
      </x:c>
      <x:c r="P8" s="36" t="n">
        <x:v>2</x:v>
      </x:c>
      <x:c r="Q8" s="36" t="n">
        <x:v>3</x:v>
      </x:c>
      <x:c r="R8" s="36" t="n">
        <x:f>P8*Q8</x:f>
        <x:v>6</x:v>
      </x:c>
      <x:c r="S8" s="36" t="str">
        <x:f>IF(R8&gt;=15,"Critical",IF(R8&gt;=10,"High",IF(R8&gt;=5,"Medium","Low")))</x:f>
        <x:v>Medium</x:v>
      </x:c>
      <x:c r="T8" s="36" t="str">
        <x:v>Open</x:v>
      </x:c>
      <x:c r="U8" s="40" t="n">
        <x:v>46160</x:v>
      </x:c>
      <x:c r="V8" s="40" t="n">
        <x:v>46262</x:v>
      </x:c>
      <x:c r="W8" s="36" t="str">
        <x:v>EVD-MIC-004</x:v>
      </x:c>
      <x:c r="X8" s="36" t="str">
        <x:v>Synthetic record for application testing.</x:v>
      </x:c>
    </x:row>
    <x:row r="9">
      <x:c r="A9" s="36" t="str">
        <x:v>RISK-MST-005</x:v>
      </x:c>
      <x:c r="B9" s="36" t="str">
        <x:v>AKS workload identity misbinding</x:v>
      </x:c>
      <x:c r="C9" s="36" t="str">
        <x:v>Container Security</x:v>
      </x:c>
      <x:c r="D9" s="36" t="str">
        <x:v>AKS Production Cluster</x:v>
      </x:c>
      <x:c r="E9" s="36" t="str">
        <x:v>Infrastructure</x:v>
      </x:c>
      <x:c r="F9" s="36" t="str">
        <x:v>Mona</x:v>
      </x:c>
      <x:c r="G9" s="36" t="str">
        <x:v>A pod is bound to a privileged cloud identity and accesses unrelated resources.</x:v>
      </x:c>
      <x:c r="H9" s="36" t="n">
        <x:v>3</x:v>
      </x:c>
      <x:c r="I9" s="36" t="n">
        <x:v>5</x:v>
      </x:c>
      <x:c r="J9" s="36" t="n">
        <x:f>H9*I9</x:f>
        <x:v>15</x:v>
      </x:c>
      <x:c r="K9" s="36" t="str">
        <x:f>IF(J9&gt;=15,"Critical",IF(J9&gt;=10,"High",IF(J9&gt;=5,"Medium","Low")))</x:f>
        <x:v>Critical</x:v>
      </x:c>
      <x:c r="L9" s="36" t="str">
        <x:v>Mitigate</x:v>
      </x:c>
      <x:c r="M9" s="36" t="str">
        <x:v>Workload identity scoping, admission policy, namespace isolation, and entitlement reviews.</x:v>
      </x:c>
      <x:c r="N9" s="36" t="str">
        <x:v>NCA CCC</x:v>
      </x:c>
      <x:c r="O9" s="36" t="str">
        <x:v>CLOUD-12 Workload Security</x:v>
      </x:c>
      <x:c r="P9" s="36" t="n">
        <x:v>2</x:v>
      </x:c>
      <x:c r="Q9" s="36" t="n">
        <x:v>3</x:v>
      </x:c>
      <x:c r="R9" s="36" t="n">
        <x:f>P9*Q9</x:f>
        <x:v>6</x:v>
      </x:c>
      <x:c r="S9" s="36" t="str">
        <x:f>IF(R9&gt;=15,"Critical",IF(R9&gt;=10,"High",IF(R9&gt;=5,"Medium","Low")))</x:f>
        <x:v>Medium</x:v>
      </x:c>
      <x:c r="T9" s="36" t="str">
        <x:v>In Progress</x:v>
      </x:c>
      <x:c r="U9" s="40" t="n">
        <x:v>46149</x:v>
      </x:c>
      <x:c r="V9" s="40" t="n">
        <x:v>46269</x:v>
      </x:c>
      <x:c r="W9" s="36" t="str">
        <x:v>EVD-MIC-005</x:v>
      </x:c>
      <x:c r="X9" s="36" t="str">
        <x:v>Synthetic record for application testing.</x:v>
      </x:c>
    </x:row>
    <x:row r="10">
      <x:c r="A10" s="36" t="str">
        <x:v>RISK-MST-006</x:v>
      </x:c>
      <x:c r="B10" s="36" t="str">
        <x:v>Azure DevOps pipeline token leakage</x:v>
      </x:c>
      <x:c r="C10" s="36" t="str">
        <x:v>DevSecOps</x:v>
      </x:c>
      <x:c r="D10" s="36" t="str">
        <x:v>Azure DevOps Organization</x:v>
      </x:c>
      <x:c r="E10" s="36" t="str">
        <x:v>DevOps</x:v>
      </x:c>
      <x:c r="F10" s="36" t="str">
        <x:v>Adel</x:v>
      </x:c>
      <x:c r="G10" s="36" t="str">
        <x:v>A pipeline token appears in build logs or artifacts and is reused to modify source or deployments.</x:v>
      </x:c>
      <x:c r="H10" s="36" t="n">
        <x:v>3</x:v>
      </x:c>
      <x:c r="I10" s="36" t="n">
        <x:v>5</x:v>
      </x:c>
      <x:c r="J10" s="36" t="n">
        <x:f>H10*I10</x:f>
        <x:v>15</x:v>
      </x:c>
      <x:c r="K10" s="36" t="str">
        <x:f>IF(J10&gt;=15,"Critical",IF(J10&gt;=10,"High",IF(J10&gt;=5,"Medium","Low")))</x:f>
        <x:v>Critical</x:v>
      </x:c>
      <x:c r="L10" s="36" t="str">
        <x:v>Mitigate</x:v>
      </x:c>
      <x:c r="M10" s="36" t="str">
        <x:v>Short-lived tokens, secret masking, protected environments, scanning, and approval gates.</x:v>
      </x:c>
      <x:c r="N10" s="36" t="str">
        <x:v>ISO 27001</x:v>
      </x:c>
      <x:c r="O10" s="36" t="str">
        <x:v>A.8.28 Secure Coding</x:v>
      </x:c>
      <x:c r="P10" s="36" t="n">
        <x:v>2</x:v>
      </x:c>
      <x:c r="Q10" s="36" t="n">
        <x:v>2</x:v>
      </x:c>
      <x:c r="R10" s="36" t="n">
        <x:f>P10*Q10</x:f>
        <x:v>4</x:v>
      </x:c>
      <x:c r="S10" s="36" t="str">
        <x:f>IF(R10&gt;=15,"Critical",IF(R10&gt;=10,"High",IF(R10&gt;=5,"Medium","Low")))</x:f>
        <x:v>Low</x:v>
      </x:c>
      <x:c r="T10" s="36" t="str">
        <x:v>Open</x:v>
      </x:c>
      <x:c r="U10" s="40" t="n">
        <x:v>46138</x:v>
      </x:c>
      <x:c r="V10" s="40" t="n">
        <x:v>46276</x:v>
      </x:c>
      <x:c r="W10" s="36" t="str">
        <x:v>EVD-MIC-006</x:v>
      </x:c>
      <x:c r="X10" s="36" t="str">
        <x:v>Synthetic record for application testing.</x:v>
      </x:c>
    </x:row>
    <x:row r="11">
      <x:c r="A11" s="36" t="str">
        <x:v>RISK-MST-007</x:v>
      </x:c>
      <x:c r="B11" s="36" t="str">
        <x:v>M365 business email compromise</x:v>
      </x:c>
      <x:c r="C11" s="36" t="str">
        <x:v>Social Engineering</x:v>
      </x:c>
      <x:c r="D11" s="36" t="str">
        <x:v>Microsoft 365 Tenant</x:v>
      </x:c>
      <x:c r="E11" s="36" t="str">
        <x:v>Modern Workplace</x:v>
      </x:c>
      <x:c r="F11" s="36" t="str">
        <x:v>Hanan</x:v>
      </x:c>
      <x:c r="G11" s="36" t="str">
        <x:v>A user is deceived into approving a payment or disclosing credentials through a convincing email thread.</x:v>
      </x:c>
      <x:c r="H11" s="36" t="n">
        <x:v>4</x:v>
      </x:c>
      <x:c r="I11" s="36" t="n">
        <x:v>5</x:v>
      </x:c>
      <x:c r="J11" s="36" t="n">
        <x:f>H11*I11</x:f>
        <x:v>20</x:v>
      </x:c>
      <x:c r="K11" s="36" t="str">
        <x:f>IF(J11&gt;=15,"Critical",IF(J11&gt;=10,"High",IF(J11&gt;=5,"Medium","Low")))</x:f>
        <x:v>Critical</x:v>
      </x:c>
      <x:c r="L11" s="36" t="str">
        <x:v>Mitigate</x:v>
      </x:c>
      <x:c r="M11" s="36" t="str">
        <x:v>Phishing-resistant MFA, email authentication, payment verification, user reporting, and simulations.</x:v>
      </x:c>
      <x:c r="N11" s="36" t="str">
        <x:v>NCA ECC</x:v>
      </x:c>
      <x:c r="O11" s="36" t="str">
        <x:v>AWR-03 Awareness</x:v>
      </x:c>
      <x:c r="P11" s="36" t="n">
        <x:v>3</x:v>
      </x:c>
      <x:c r="Q11" s="36" t="n">
        <x:v>3</x:v>
      </x:c>
      <x:c r="R11" s="36" t="n">
        <x:f>P11*Q11</x:f>
        <x:v>9</x:v>
      </x:c>
      <x:c r="S11" s="36" t="str">
        <x:f>IF(R11&gt;=15,"Critical",IF(R11&gt;=10,"High",IF(R11&gt;=5,"Medium","Low")))</x:f>
        <x:v>Medium</x:v>
      </x:c>
      <x:c r="T11" s="36" t="str">
        <x:v>In Progress</x:v>
      </x:c>
      <x:c r="U11" s="40" t="n">
        <x:v>46127</x:v>
      </x:c>
      <x:c r="V11" s="40" t="n">
        <x:v>46283</x:v>
      </x:c>
      <x:c r="W11" s="36" t="str">
        <x:v>EVD-MIC-007</x:v>
      </x:c>
      <x:c r="X11" s="36" t="str">
        <x:v>Synthetic record for application testing.</x:v>
      </x:c>
    </x:row>
    <x:row r="12">
      <x:c r="A12" s="36" t="str">
        <x:v>RISK-MST-008</x:v>
      </x:c>
      <x:c r="B12" s="36" t="str">
        <x:v>Intune compliance policy gap</x:v>
      </x:c>
      <x:c r="C12" s="36" t="str">
        <x:v>Endpoint Security</x:v>
      </x:c>
      <x:c r="D12" s="36" t="str">
        <x:v>Intune Device Estate</x:v>
      </x:c>
      <x:c r="E12" s="36" t="str">
        <x:v>Modern Workplace</x:v>
      </x:c>
      <x:c r="F12" s="36" t="str">
        <x:v>Saud</x:v>
      </x:c>
      <x:c r="G12" s="36" t="str">
        <x:v>A device is marked compliant despite missing encryption, endpoint protection, or patch requirements.</x:v>
      </x:c>
      <x:c r="H12" s="36" t="n">
        <x:v>3</x:v>
      </x:c>
      <x:c r="I12" s="36" t="n">
        <x:v>4</x:v>
      </x:c>
      <x:c r="J12" s="36" t="n">
        <x:f>H12*I12</x:f>
        <x:v>12</x:v>
      </x:c>
      <x:c r="K12" s="36" t="str">
        <x:f>IF(J12&gt;=15,"Critical",IF(J12&gt;=10,"High",IF(J12&gt;=5,"Medium","Low")))</x:f>
        <x:v>High</x:v>
      </x:c>
      <x:c r="L12" s="36" t="str">
        <x:v>Mitigate</x:v>
      </x:c>
      <x:c r="M12" s="36" t="str">
        <x:v>Policy test ring, compliance attestation, remediation scripts, and exception expiry.</x:v>
      </x:c>
      <x:c r="N12" s="36" t="str">
        <x:v>NCA ECC</x:v>
      </x:c>
      <x:c r="O12" s="36" t="str">
        <x:v>END-04 Endpoint Compliance</x:v>
      </x:c>
      <x:c r="P12" s="36" t="n">
        <x:v>2</x:v>
      </x:c>
      <x:c r="Q12" s="36" t="n">
        <x:v>2</x:v>
      </x:c>
      <x:c r="R12" s="36" t="n">
        <x:f>P12*Q12</x:f>
        <x:v>4</x:v>
      </x:c>
      <x:c r="S12" s="36" t="str">
        <x:f>IF(R12&gt;=15,"Critical",IF(R12&gt;=10,"High",IF(R12&gt;=5,"Medium","Low")))</x:f>
        <x:v>Low</x:v>
      </x:c>
      <x:c r="T12" s="36" t="str">
        <x:v>Open</x:v>
      </x:c>
      <x:c r="U12" s="40" t="n">
        <x:v>46116</x:v>
      </x:c>
      <x:c r="V12" s="40" t="n">
        <x:v>46290</x:v>
      </x:c>
      <x:c r="W12" s="36" t="str">
        <x:v>EVD-MIC-008</x:v>
      </x:c>
      <x:c r="X12" s="36" t="str">
        <x:v>Synthetic record for application testing.</x:v>
      </x:c>
    </x:row>
    <x:row r="13">
      <x:c r="A13" s="36" t="str">
        <x:v>RISK-MST-009</x:v>
      </x:c>
      <x:c r="B13" s="36" t="str">
        <x:v>Power Platform data exfiltration</x:v>
      </x:c>
      <x:c r="C13" s="36" t="str">
        <x:v>Data Protection</x:v>
      </x:c>
      <x:c r="D13" s="36" t="str">
        <x:v>Power Platform Environment</x:v>
      </x:c>
      <x:c r="E13" s="36" t="str">
        <x:v>Data Protection</x:v>
      </x:c>
      <x:c r="F13" s="36" t="str">
        <x:v>Nadia</x:v>
      </x:c>
      <x:c r="G13" s="36" t="str">
        <x:v>A low-code application connects regulated data to an unapproved consumer service.</x:v>
      </x:c>
      <x:c r="H13" s="36" t="n">
        <x:v>3</x:v>
      </x:c>
      <x:c r="I13" s="36" t="n">
        <x:v>5</x:v>
      </x:c>
      <x:c r="J13" s="36" t="n">
        <x:f>H13*I13</x:f>
        <x:v>15</x:v>
      </x:c>
      <x:c r="K13" s="36" t="str">
        <x:f>IF(J13&gt;=15,"Critical",IF(J13&gt;=10,"High",IF(J13&gt;=5,"Medium","Low")))</x:f>
        <x:v>Critical</x:v>
      </x:c>
      <x:c r="L13" s="36" t="str">
        <x:v>Mitigate</x:v>
      </x:c>
      <x:c r="M13" s="36" t="str">
        <x:v>DLP policies, environment segmentation, connector governance, maker training, and app review.</x:v>
      </x:c>
      <x:c r="N13" s="36" t="str">
        <x:v>PDPL / NCA ECC</x:v>
      </x:c>
      <x:c r="O13" s="36" t="str">
        <x:v>DP-06 Data Transfer</x:v>
      </x:c>
      <x:c r="P13" s="36" t="n">
        <x:v>2</x:v>
      </x:c>
      <x:c r="Q13" s="36" t="n">
        <x:v>3</x:v>
      </x:c>
      <x:c r="R13" s="36" t="n">
        <x:f>P13*Q13</x:f>
        <x:v>6</x:v>
      </x:c>
      <x:c r="S13" s="36" t="str">
        <x:f>IF(R13&gt;=15,"Critical",IF(R13&gt;=10,"High",IF(R13&gt;=5,"Medium","Low")))</x:f>
        <x:v>Medium</x:v>
      </x:c>
      <x:c r="T13" s="36" t="str">
        <x:v>Pending Approval</x:v>
      </x:c>
      <x:c r="U13" s="40" t="n">
        <x:v>46105</x:v>
      </x:c>
      <x:c r="V13" s="40" t="n">
        <x:v>46297</x:v>
      </x:c>
      <x:c r="W13" s="36" t="str">
        <x:v>EVD-MIC-009</x:v>
      </x:c>
      <x:c r="X13" s="36" t="str">
        <x:v>Synthetic record for application testing.</x:v>
      </x:c>
    </x:row>
    <x:row r="14">
      <x:c r="A14" s="36" t="str">
        <x:v>RISK-MST-010</x:v>
      </x:c>
      <x:c r="B14" s="36" t="str">
        <x:v>Backup vault immutability disabled</x:v>
      </x:c>
      <x:c r="C14" s="36" t="str">
        <x:v>Resilience</x:v>
      </x:c>
      <x:c r="D14" s="36" t="str">
        <x:v>Microsoft 365 Tenant</x:v>
      </x:c>
      <x:c r="E14" s="36" t="str">
        <x:v>Infrastructure</x:v>
      </x:c>
      <x:c r="F14" s="36" t="str">
        <x:v>Kareem</x:v>
      </x:c>
      <x:c r="G14" s="36" t="str">
        <x:v>A privileged actor deletes or alters recovery points before a ransomware event.</x:v>
      </x:c>
      <x:c r="H14" s="36" t="n">
        <x:v>2</x:v>
      </x:c>
      <x:c r="I14" s="36" t="n">
        <x:v>5</x:v>
      </x:c>
      <x:c r="J14" s="36" t="n">
        <x:f>H14*I14</x:f>
        <x:v>10</x:v>
      </x:c>
      <x:c r="K14" s="36" t="str">
        <x:f>IF(J14&gt;=15,"Critical",IF(J14&gt;=10,"High",IF(J14&gt;=5,"Medium","Low")))</x:f>
        <x:v>High</x:v>
      </x:c>
      <x:c r="L14" s="36" t="str">
        <x:v>Mitigate</x:v>
      </x:c>
      <x:c r="M14" s="36" t="str">
        <x:v>Immutable vault settings, separation of duties, deletion alerts, and restore testing.</x:v>
      </x:c>
      <x:c r="N14" s="36" t="str">
        <x:v>ISO 22301</x:v>
      </x:c>
      <x:c r="O14" s="36" t="str">
        <x:v>DR-05 Recovery Testing</x:v>
      </x:c>
      <x:c r="P14" s="36" t="n">
        <x:v>1</x:v>
      </x:c>
      <x:c r="Q14" s="36" t="n">
        <x:v>3</x:v>
      </x:c>
      <x:c r="R14" s="36" t="n">
        <x:f>P14*Q14</x:f>
        <x:v>3</x:v>
      </x:c>
      <x:c r="S14" s="36" t="str">
        <x:f>IF(R14&gt;=15,"Critical",IF(R14&gt;=10,"High",IF(R14&gt;=5,"Medium","Low")))</x:f>
        <x:v>Low</x:v>
      </x:c>
      <x:c r="T14" s="36" t="str">
        <x:v>Open</x:v>
      </x:c>
      <x:c r="U14" s="40" t="n">
        <x:v>46094</x:v>
      </x:c>
      <x:c r="V14" s="40" t="n">
        <x:v>46304</x:v>
      </x:c>
      <x:c r="W14" s="36" t="str">
        <x:v>EVD-MIC-010</x:v>
      </x:c>
      <x:c r="X14" s="36" t="str">
        <x:v>Synthetic record for application testing.</x:v>
      </x:c>
    </x:row>
    <x:row r="15">
      <x:c r="A15" s="36" t="str">
        <x:v>RISK-MST-011</x:v>
      </x:c>
      <x:c r="B15" s="36" t="str">
        <x:v>Transport rule misconfiguration</x:v>
      </x:c>
      <x:c r="C15" s="36" t="str">
        <x:v>Email Security</x:v>
      </x:c>
      <x:c r="D15" s="36" t="str">
        <x:v>Microsoft 365 Tenant</x:v>
      </x:c>
      <x:c r="E15" s="36" t="str">
        <x:v>Modern Workplace</x:v>
      </x:c>
      <x:c r="F15" s="36" t="str">
        <x:v>Aseel</x:v>
      </x:c>
      <x:c r="G15" s="36" t="str">
        <x:v>A mail flow rule unintentionally bypasses scanning or forwards sensitive messages externally.</x:v>
      </x:c>
      <x:c r="H15" s="36" t="n">
        <x:v>3</x:v>
      </x:c>
      <x:c r="I15" s="36" t="n">
        <x:v>4</x:v>
      </x:c>
      <x:c r="J15" s="36" t="n">
        <x:f>H15*I15</x:f>
        <x:v>12</x:v>
      </x:c>
      <x:c r="K15" s="36" t="str">
        <x:f>IF(J15&gt;=15,"Critical",IF(J15&gt;=10,"High",IF(J15&gt;=5,"Medium","Low")))</x:f>
        <x:v>High</x:v>
      </x:c>
      <x:c r="L15" s="36" t="str">
        <x:v>Mitigate</x:v>
      </x:c>
      <x:c r="M15" s="36" t="str">
        <x:v>Four-eye approval, rule simulation, change logging, and quarterly cleanup.</x:v>
      </x:c>
      <x:c r="N15" s="36" t="str">
        <x:v>ISO 27001</x:v>
      </x:c>
      <x:c r="O15" s="36" t="str">
        <x:v>A.8.12 Data Leakage Prevention</x:v>
      </x:c>
      <x:c r="P15" s="36" t="n">
        <x:v>2</x:v>
      </x:c>
      <x:c r="Q15" s="36" t="n">
        <x:v>2</x:v>
      </x:c>
      <x:c r="R15" s="36" t="n">
        <x:f>P15*Q15</x:f>
        <x:v>4</x:v>
      </x:c>
      <x:c r="S15" s="36" t="str">
        <x:f>IF(R15&gt;=15,"Critical",IF(R15&gt;=10,"High",IF(R15&gt;=5,"Medium","Low")))</x:f>
        <x:v>Low</x:v>
      </x:c>
      <x:c r="T15" s="36" t="str">
        <x:v>Open</x:v>
      </x:c>
      <x:c r="U15" s="40" t="n">
        <x:v>46083</x:v>
      </x:c>
      <x:c r="V15" s="40" t="n">
        <x:v>46311</x:v>
      </x:c>
      <x:c r="W15" s="36" t="str">
        <x:v>EVD-MIC-011</x:v>
      </x:c>
      <x:c r="X15" s="36" t="str">
        <x:v>Synthetic record for application testing.</x:v>
      </x:c>
    </x:row>
    <x:row r="16">
      <x:c r="A16" s="36" t="str">
        <x:v>RISK-MST-012</x:v>
      </x:c>
      <x:c r="B16" s="36" t="str">
        <x:v>Cloud policy exception accumulation</x:v>
      </x:c>
      <x:c r="C16" s="36" t="str">
        <x:v>Governance</x:v>
      </x:c>
      <x:c r="D16" s="36" t="str">
        <x:v>Entra ID Tenant</x:v>
      </x:c>
      <x:c r="E16" s="36" t="str">
        <x:v>GRC</x:v>
      </x:c>
      <x:c r="F16" s="36" t="str">
        <x:v>Walid</x:v>
      </x:c>
      <x:c r="G16" s="36" t="str">
        <x:v>Temporary policy exemptions remain active beyond their approved expiry and weaken the control baseline.</x:v>
      </x:c>
      <x:c r="H16" s="36" t="n">
        <x:v>4</x:v>
      </x:c>
      <x:c r="I16" s="36" t="n">
        <x:v>4</x:v>
      </x:c>
      <x:c r="J16" s="36" t="n">
        <x:f>H16*I16</x:f>
        <x:v>16</x:v>
      </x:c>
      <x:c r="K16" s="36" t="str">
        <x:f>IF(J16&gt;=15,"Critical",IF(J16&gt;=10,"High",IF(J16&gt;=5,"Medium","Low")))</x:f>
        <x:v>Critical</x:v>
      </x:c>
      <x:c r="L16" s="36" t="str">
        <x:v>Mitigate</x:v>
      </x:c>
      <x:c r="M16" s="36" t="str">
        <x:v>Exception register, mandatory expiry, owner reminders, automatic disablement, and KPI tracking.</x:v>
      </x:c>
      <x:c r="N16" s="36" t="str">
        <x:v>NCA ECC</x:v>
      </x:c>
      <x:c r="O16" s="36" t="str">
        <x:v>GOV-08 Exception Management</x:v>
      </x:c>
      <x:c r="P16" s="36" t="n">
        <x:v>2</x:v>
      </x:c>
      <x:c r="Q16" s="36" t="n">
        <x:v>3</x:v>
      </x:c>
      <x:c r="R16" s="36" t="n">
        <x:f>P16*Q16</x:f>
        <x:v>6</x:v>
      </x:c>
      <x:c r="S16" s="36" t="str">
        <x:f>IF(R16&gt;=15,"Critical",IF(R16&gt;=10,"High",IF(R16&gt;=5,"Medium","Low")))</x:f>
        <x:v>Medium</x:v>
      </x:c>
      <x:c r="T16" s="36" t="str">
        <x:v>In Progress</x:v>
      </x:c>
      <x:c r="U16" s="40" t="n">
        <x:v>46072</x:v>
      </x:c>
      <x:c r="V16" s="40" t="n">
        <x:v>46318</x:v>
      </x:c>
      <x:c r="W16" s="36" t="str">
        <x:v>EVD-MIC-012</x:v>
      </x:c>
      <x:c r="X16" s="36" t="str">
        <x:v>Synthetic record for application testing.</x:v>
      </x:c>
    </x:row>
  </x:sheetData>
  <x:mergeCells>
    <x:mergeCell ref="A1:X1"/>
    <x:mergeCell ref="A2:X2"/>
  </x:mergeCells>
  <x:conditionalFormatting sqref="A5:X16">
    <x:cfRule type="expression" dxfId="1" priority="1">
      <x:formula>MOD(ROW(),2)=0</x:formula>
    </x:cfRule>
  </x:conditionalFormatting>
  <x:conditionalFormatting sqref="K5:K16">
    <x:cfRule type="expression" dxfId="2" priority="2">
      <x:formula>$K5="Critical"</x:formula>
    </x:cfRule>
    <x:cfRule type="expression" dxfId="3" priority="3">
      <x:formula>$K5="High"</x:formula>
    </x:cfRule>
    <x:cfRule type="expression" dxfId="4" priority="4">
      <x:formula>$K5="Medium"</x:formula>
    </x:cfRule>
    <x:cfRule type="expression" dxfId="5" priority="5">
      <x:formula>$K5="Low"</x:formula>
    </x:cfRule>
  </x:conditionalFormatting>
  <x:conditionalFormatting sqref="S5:S16">
    <x:cfRule type="expression" dxfId="6" priority="6">
      <x:formula>$S5="Critical"</x:formula>
    </x:cfRule>
    <x:cfRule type="expression" dxfId="7" priority="7">
      <x:formula>$S5="High"</x:formula>
    </x:cfRule>
    <x:cfRule type="expression" dxfId="8" priority="8">
      <x:formula>$S5="Medium"</x:formula>
    </x:cfRule>
    <x:cfRule type="expression" dxfId="9" priority="9">
      <x:formula>$S5="Low"</x:formula>
    </x:cfRule>
  </x:conditionalFormatting>
  <x:conditionalFormatting sqref="J5:J16">
    <x:cfRule type="colorScale" priority="10">
      <x:colorScale>
        <x:cfvo type="min"/>
        <x:cfvo type="percentile" val="50"/>
        <x:cfvo type="max"/>
        <x:color rgb="FFD1FAE5"/>
        <x:color rgb="FFFEF3C7"/>
        <x:color rgb="FFFECACA"/>
      </x:colorScale>
    </x:cfRule>
  </x:conditionalFormatting>
  <x:conditionalFormatting sqref="R5:R16">
    <x:cfRule type="colorScale" priority="11">
      <x:colorScale>
        <x:cfvo type="min"/>
        <x:cfvo type="percentile" val="50"/>
        <x:cfvo type="max"/>
        <x:color rgb="FFD1FAE5"/>
        <x:color rgb="FFFEF3C7"/>
        <x:color rgb="FFFECACA"/>
      </x:colorScale>
    </x:cfRule>
  </x:conditionalFormatting>
  <x:dataValidations count="4">
    <x:dataValidation type="whole" operator="between" sqref="H5:I16">
      <x:formula1>1</x:formula1>
      <x:formula2>5</x:formula2>
    </x:dataValidation>
    <x:dataValidation type="whole" operator="between" sqref="P5:Q16">
      <x:formula1>1</x:formula1>
      <x:formula2>5</x:formula2>
    </x:dataValidation>
    <x:dataValidation type="list" sqref="L5:L16">
      <x:formula1>"Mitigate,Transfer,Avoid,Accept"</x:formula1>
    </x:dataValidation>
    <x:dataValidation type="list" sqref="T5:T16">
      <x:formula1>"Open,In Progress,Pending Evidence,Pending Approval,Accepted,Closed"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b287bbbc004aa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38" hidden="0" customWidth="1"/>
    <x:col min="4" max="4" width="16" hidden="0" customWidth="1"/>
    <x:col min="5" max="5" width="18" hidden="0" customWidth="1"/>
    <x:col min="6" max="6" width="12" hidden="0" customWidth="1"/>
    <x:col min="7" max="7" width="14" hidden="0" customWidth="1"/>
    <x:col min="8" max="8" width="14" hidden="0" customWidth="1"/>
    <x:col min="9" max="9" width="19" hidden="0" customWidth="1"/>
    <x:col min="10" max="10" width="22" hidden="0" customWidth="1"/>
    <x:col min="11" max="11" width="14" hidden="0" customWidth="1"/>
    <x:col min="12" max="12" width="16" hidden="0" customWidth="1"/>
    <x:col min="13" max="13" width="22" hidden="0" customWidth="1"/>
    <x:col min="14" max="14" width="34" hidden="0" customWidth="1"/>
    <x:col min="15" max="15" width="14" hidden="0" customWidth="1"/>
  </x:cols>
  <x:sheetData>
    <x:row r="1" ht="34" customHeight="1">
      <x:c r="A1" s="5" t="str">
        <x:v>Microsoft Risk Treatment Plans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26" customHeight="1">
      <x:c r="A2" s="12" t="str">
        <x:v>Synthetic mitigation, transfer, avoidance, and acceptance actions with cost, ownership, schedule, progress, and evidence.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</x:row>
    <x:row r="4" ht="34" customHeight="1">
      <x:c r="A4" s="28" t="str">
        <x:v>Treatment ID</x:v>
      </x:c>
      <x:c r="B4" s="28" t="str">
        <x:v>Risk ID</x:v>
      </x:c>
      <x:c r="C4" s="28" t="str">
        <x:v>Treatment Action</x:v>
      </x:c>
      <x:c r="D4" s="28" t="str">
        <x:v>Treatment Type</x:v>
      </x:c>
      <x:c r="E4" s="28" t="str">
        <x:v>Action Owner</x:v>
      </x:c>
      <x:c r="F4" s="28" t="str">
        <x:v>Priority</x:v>
      </x:c>
      <x:c r="G4" s="28" t="str">
        <x:v>Planned Start Date</x:v>
      </x:c>
      <x:c r="H4" s="28" t="str">
        <x:v>Target Completion Date</x:v>
      </x:c>
      <x:c r="I4" s="28" t="str">
        <x:v>Estimated One-Time Cost (USD)</x:v>
      </x:c>
      <x:c r="J4" s="28" t="str">
        <x:v>Expected Risk Reduction (%)</x:v>
      </x:c>
      <x:c r="K4" s="28" t="str">
        <x:v>Completion Progress (%)</x:v>
      </x:c>
      <x:c r="L4" s="28" t="str">
        <x:v>Treatment Status</x:v>
      </x:c>
      <x:c r="M4" s="28" t="str">
        <x:v>Dependencies</x:v>
      </x:c>
      <x:c r="N4" s="28" t="str">
        <x:v>Required Evidence</x:v>
      </x:c>
      <x:c r="O4" s="28" t="str">
        <x:v>Last Updated Date</x:v>
      </x:c>
    </x:row>
    <x:row r="5">
      <x:c r="A5" s="36" t="str">
        <x:v>TRT-MIC-001</x:v>
      </x:c>
      <x:c r="B5" s="36" t="str">
        <x:v>RISK-MST-001</x:v>
      </x:c>
      <x:c r="C5" s="36" t="str">
        <x:v>Named break-glass accounts</x:v>
      </x:c>
      <x:c r="D5" s="36" t="str">
        <x:v>Mitigate</x:v>
      </x:c>
      <x:c r="E5" s="36" t="str">
        <x:v>Lama</x:v>
      </x:c>
      <x:c r="F5" s="36" t="str">
        <x:v>Critical</x:v>
      </x:c>
      <x:c r="G5" s="40" t="n">
        <x:v>46205</x:v>
      </x:c>
      <x:c r="H5" s="40" t="n">
        <x:v>46265</x:v>
      </x:c>
      <x:c r="I5" s="42" t="n">
        <x:v>74500</x:v>
      </x:c>
      <x:c r="J5" s="44" t="n">
        <x:v>28</x:v>
      </x:c>
      <x:c r="K5" s="44" t="n">
        <x:v>25</x:v>
      </x:c>
      <x:c r="L5" s="36" t="str">
        <x:v>In Progress</x:v>
      </x:c>
      <x:c r="M5" s="36" t="str">
        <x:v>Technical implementation</x:v>
      </x:c>
      <x:c r="N5" s="36" t="str">
        <x:v>Configuration evidence and approval record</x:v>
      </x:c>
      <x:c r="O5" s="40" t="n">
        <x:v>46206</x:v>
      </x:c>
    </x:row>
    <x:row r="6">
      <x:c r="A6" s="36" t="str">
        <x:v>TRT-MIC-002</x:v>
      </x:c>
      <x:c r="B6" s="36" t="str">
        <x:v>RISK-MST-002</x:v>
      </x:c>
      <x:c r="C6" s="36" t="str">
        <x:v>Admin consent workflow</x:v>
      </x:c>
      <x:c r="D6" s="36" t="str">
        <x:v>Mitigate</x:v>
      </x:c>
      <x:c r="E6" s="36" t="str">
        <x:v>Yousef</x:v>
      </x:c>
      <x:c r="F6" s="36" t="str">
        <x:v>Critical</x:v>
      </x:c>
      <x:c r="G6" s="40" t="n">
        <x:v>46206</x:v>
      </x:c>
      <x:c r="H6" s="40" t="n">
        <x:v>46281</x:v>
      </x:c>
      <x:c r="I6" s="42" t="n">
        <x:v>104000</x:v>
      </x:c>
      <x:c r="J6" s="44" t="n">
        <x:v>31</x:v>
      </x:c>
      <x:c r="K6" s="44" t="n">
        <x:v>40</x:v>
      </x:c>
      <x:c r="L6" s="36" t="str">
        <x:v>In Progress</x:v>
      </x:c>
      <x:c r="M6" s="36" t="str">
        <x:v>Technical implementation</x:v>
      </x:c>
      <x:c r="N6" s="36" t="str">
        <x:v>Configuration evidence and approval record</x:v>
      </x:c>
      <x:c r="O6" s="40" t="n">
        <x:v>46208</x:v>
      </x:c>
    </x:row>
    <x:row r="7">
      <x:c r="A7" s="36" t="str">
        <x:v>TRT-MIC-003</x:v>
      </x:c>
      <x:c r="B7" s="36" t="str">
        <x:v>RISK-MST-003</x:v>
      </x:c>
      <x:c r="C7" s="36" t="str">
        <x:v>Rbac scoping</x:v>
      </x:c>
      <x:c r="D7" s="36" t="str">
        <x:v>Mitigate</x:v>
      </x:c>
      <x:c r="E7" s="36" t="str">
        <x:v>Rasha</x:v>
      </x:c>
      <x:c r="F7" s="36" t="str">
        <x:v>Critical</x:v>
      </x:c>
      <x:c r="G7" s="40" t="n">
        <x:v>46207</x:v>
      </x:c>
      <x:c r="H7" s="40" t="n">
        <x:v>46252</x:v>
      </x:c>
      <x:c r="I7" s="42" t="n">
        <x:v>133500</x:v>
      </x:c>
      <x:c r="J7" s="44" t="n">
        <x:v>34</x:v>
      </x:c>
      <x:c r="K7" s="44" t="n">
        <x:v>55</x:v>
      </x:c>
      <x:c r="L7" s="36" t="str">
        <x:v>In Progress</x:v>
      </x:c>
      <x:c r="M7" s="36" t="str">
        <x:v>Technical implementation</x:v>
      </x:c>
      <x:c r="N7" s="36" t="str">
        <x:v>Configuration evidence and approval record</x:v>
      </x:c>
      <x:c r="O7" s="40" t="n">
        <x:v>46210</x:v>
      </x:c>
    </x:row>
    <x:row r="8">
      <x:c r="A8" s="36" t="str">
        <x:v>TRT-MIC-004</x:v>
      </x:c>
      <x:c r="B8" s="36" t="str">
        <x:v>RISK-MST-004</x:v>
      </x:c>
      <x:c r="C8" s="36" t="str">
        <x:v>Connector health analytics</x:v>
      </x:c>
      <x:c r="D8" s="36" t="str">
        <x:v>Mitigate</x:v>
      </x:c>
      <x:c r="E8" s="36" t="str">
        <x:v>Faisal</x:v>
      </x:c>
      <x:c r="F8" s="36" t="str">
        <x:v>High</x:v>
      </x:c>
      <x:c r="G8" s="40" t="n">
        <x:v>46208</x:v>
      </x:c>
      <x:c r="H8" s="40" t="n">
        <x:v>46268</x:v>
      </x:c>
      <x:c r="I8" s="42" t="n">
        <x:v>115000</x:v>
      </x:c>
      <x:c r="J8" s="44" t="n">
        <x:v>37</x:v>
      </x:c>
      <x:c r="K8" s="44" t="n">
        <x:v>70</x:v>
      </x:c>
      <x:c r="L8" s="36" t="str">
        <x:v>In Progress</x:v>
      </x:c>
      <x:c r="M8" s="36" t="str">
        <x:v>Budget approval</x:v>
      </x:c>
      <x:c r="N8" s="36" t="str">
        <x:v>Configuration evidence and approval record</x:v>
      </x:c>
      <x:c r="O8" s="40" t="n">
        <x:v>46212</x:v>
      </x:c>
    </x:row>
    <x:row r="9">
      <x:c r="A9" s="36" t="str">
        <x:v>TRT-MIC-005</x:v>
      </x:c>
      <x:c r="B9" s="36" t="str">
        <x:v>RISK-MST-005</x:v>
      </x:c>
      <x:c r="C9" s="36" t="str">
        <x:v>Workload identity scoping</x:v>
      </x:c>
      <x:c r="D9" s="36" t="str">
        <x:v>Mitigate</x:v>
      </x:c>
      <x:c r="E9" s="36" t="str">
        <x:v>Mona</x:v>
      </x:c>
      <x:c r="F9" s="36" t="str">
        <x:v>Critical</x:v>
      </x:c>
      <x:c r="G9" s="40" t="n">
        <x:v>46209</x:v>
      </x:c>
      <x:c r="H9" s="40" t="n">
        <x:v>46284</x:v>
      </x:c>
      <x:c r="I9" s="42" t="n">
        <x:v>144500</x:v>
      </x:c>
      <x:c r="J9" s="44" t="n">
        <x:v>40</x:v>
      </x:c>
      <x:c r="K9" s="44" t="n">
        <x:v>85</x:v>
      </x:c>
      <x:c r="L9" s="36" t="str">
        <x:v>In Progress</x:v>
      </x:c>
      <x:c r="M9" s="36" t="str">
        <x:v>Technical implementation</x:v>
      </x:c>
      <x:c r="N9" s="36" t="str">
        <x:v>Configuration evidence and approval record</x:v>
      </x:c>
      <x:c r="O9" s="40" t="n">
        <x:v>46214</x:v>
      </x:c>
    </x:row>
    <x:row r="10">
      <x:c r="A10" s="36" t="str">
        <x:v>TRT-MIC-006</x:v>
      </x:c>
      <x:c r="B10" s="36" t="str">
        <x:v>RISK-MST-006</x:v>
      </x:c>
      <x:c r="C10" s="36" t="str">
        <x:v>Short-lived tokens</x:v>
      </x:c>
      <x:c r="D10" s="36" t="str">
        <x:v>Mitigate</x:v>
      </x:c>
      <x:c r="E10" s="36" t="str">
        <x:v>Adel</x:v>
      </x:c>
      <x:c r="F10" s="36" t="str">
        <x:v>Critical</x:v>
      </x:c>
      <x:c r="G10" s="40" t="n">
        <x:v>46210</x:v>
      </x:c>
      <x:c r="H10" s="40" t="n">
        <x:v>46255</x:v>
      </x:c>
      <x:c r="I10" s="42" t="n">
        <x:v>174000</x:v>
      </x:c>
      <x:c r="J10" s="44" t="n">
        <x:v>43</x:v>
      </x:c>
      <x:c r="K10" s="44" t="n">
        <x:v>10</x:v>
      </x:c>
      <x:c r="L10" s="36" t="str">
        <x:v>In Progress</x:v>
      </x:c>
      <x:c r="M10" s="36" t="str">
        <x:v>Technical implementation</x:v>
      </x:c>
      <x:c r="N10" s="36" t="str">
        <x:v>Configuration evidence and approval record</x:v>
      </x:c>
      <x:c r="O10" s="40" t="n">
        <x:v>46216</x:v>
      </x:c>
    </x:row>
    <x:row r="11">
      <x:c r="A11" s="36" t="str">
        <x:v>TRT-MIC-007</x:v>
      </x:c>
      <x:c r="B11" s="36" t="str">
        <x:v>RISK-MST-007</x:v>
      </x:c>
      <x:c r="C11" s="36" t="str">
        <x:v>Phishing-resistant mfa</x:v>
      </x:c>
      <x:c r="D11" s="36" t="str">
        <x:v>Mitigate</x:v>
      </x:c>
      <x:c r="E11" s="36" t="str">
        <x:v>Hanan</x:v>
      </x:c>
      <x:c r="F11" s="36" t="str">
        <x:v>Critical</x:v>
      </x:c>
      <x:c r="G11" s="40" t="n">
        <x:v>46211</x:v>
      </x:c>
      <x:c r="H11" s="40" t="n">
        <x:v>46271</x:v>
      </x:c>
      <x:c r="I11" s="42" t="n">
        <x:v>203500</x:v>
      </x:c>
      <x:c r="J11" s="44" t="n">
        <x:v>46</x:v>
      </x:c>
      <x:c r="K11" s="44" t="n">
        <x:v>25</x:v>
      </x:c>
      <x:c r="L11" s="36" t="str">
        <x:v>In Progress</x:v>
      </x:c>
      <x:c r="M11" s="36" t="str">
        <x:v>Technical implementation</x:v>
      </x:c>
      <x:c r="N11" s="36" t="str">
        <x:v>Configuration evidence and approval record</x:v>
      </x:c>
      <x:c r="O11" s="40" t="n">
        <x:v>46218</x:v>
      </x:c>
    </x:row>
    <x:row r="12">
      <x:c r="A12" s="36" t="str">
        <x:v>TRT-MIC-008</x:v>
      </x:c>
      <x:c r="B12" s="36" t="str">
        <x:v>RISK-MST-008</x:v>
      </x:c>
      <x:c r="C12" s="36" t="str">
        <x:v>Policy test ring</x:v>
      </x:c>
      <x:c r="D12" s="36" t="str">
        <x:v>Mitigate</x:v>
      </x:c>
      <x:c r="E12" s="36" t="str">
        <x:v>Saud</x:v>
      </x:c>
      <x:c r="F12" s="36" t="str">
        <x:v>High</x:v>
      </x:c>
      <x:c r="G12" s="40" t="n">
        <x:v>46212</x:v>
      </x:c>
      <x:c r="H12" s="40" t="n">
        <x:v>46287</x:v>
      </x:c>
      <x:c r="I12" s="42" t="n">
        <x:v>185000</x:v>
      </x:c>
      <x:c r="J12" s="44" t="n">
        <x:v>49</x:v>
      </x:c>
      <x:c r="K12" s="44" t="n">
        <x:v>40</x:v>
      </x:c>
      <x:c r="L12" s="36" t="str">
        <x:v>In Progress</x:v>
      </x:c>
      <x:c r="M12" s="36" t="str">
        <x:v>Budget approval</x:v>
      </x:c>
      <x:c r="N12" s="36" t="str">
        <x:v>Configuration evidence and approval record</x:v>
      </x:c>
      <x:c r="O12" s="40" t="n">
        <x:v>46220</x:v>
      </x:c>
    </x:row>
    <x:row r="13">
      <x:c r="A13" s="36" t="str">
        <x:v>TRT-MIC-009</x:v>
      </x:c>
      <x:c r="B13" s="36" t="str">
        <x:v>RISK-MST-009</x:v>
      </x:c>
      <x:c r="C13" s="36" t="str">
        <x:v>Dlp policies</x:v>
      </x:c>
      <x:c r="D13" s="36" t="str">
        <x:v>Mitigate</x:v>
      </x:c>
      <x:c r="E13" s="36" t="str">
        <x:v>Nadia</x:v>
      </x:c>
      <x:c r="F13" s="36" t="str">
        <x:v>Critical</x:v>
      </x:c>
      <x:c r="G13" s="40" t="n">
        <x:v>46213</x:v>
      </x:c>
      <x:c r="H13" s="40" t="n">
        <x:v>46258</x:v>
      </x:c>
      <x:c r="I13" s="42" t="n">
        <x:v>214500</x:v>
      </x:c>
      <x:c r="J13" s="44" t="n">
        <x:v>52</x:v>
      </x:c>
      <x:c r="K13" s="44" t="n">
        <x:v>55</x:v>
      </x:c>
      <x:c r="L13" s="36" t="str">
        <x:v>In Progress</x:v>
      </x:c>
      <x:c r="M13" s="36" t="str">
        <x:v>Technical implementation</x:v>
      </x:c>
      <x:c r="N13" s="36" t="str">
        <x:v>Configuration evidence and approval record</x:v>
      </x:c>
      <x:c r="O13" s="40" t="n">
        <x:v>46222</x:v>
      </x:c>
    </x:row>
    <x:row r="14">
      <x:c r="A14" s="36" t="str">
        <x:v>TRT-MIC-010</x:v>
      </x:c>
      <x:c r="B14" s="36" t="str">
        <x:v>RISK-MST-010</x:v>
      </x:c>
      <x:c r="C14" s="36" t="str">
        <x:v>Immutable vault settings</x:v>
      </x:c>
      <x:c r="D14" s="36" t="str">
        <x:v>Mitigate</x:v>
      </x:c>
      <x:c r="E14" s="36" t="str">
        <x:v>Kareem</x:v>
      </x:c>
      <x:c r="F14" s="36" t="str">
        <x:v>Critical</x:v>
      </x:c>
      <x:c r="G14" s="40" t="n">
        <x:v>46214</x:v>
      </x:c>
      <x:c r="H14" s="40" t="n">
        <x:v>46274</x:v>
      </x:c>
      <x:c r="I14" s="42" t="n">
        <x:v>244000</x:v>
      </x:c>
      <x:c r="J14" s="44" t="n">
        <x:v>55</x:v>
      </x:c>
      <x:c r="K14" s="44" t="n">
        <x:v>70</x:v>
      </x:c>
      <x:c r="L14" s="36" t="str">
        <x:v>In Progress</x:v>
      </x:c>
      <x:c r="M14" s="36" t="str">
        <x:v>Technical implementation</x:v>
      </x:c>
      <x:c r="N14" s="36" t="str">
        <x:v>Configuration evidence and approval record</x:v>
      </x:c>
      <x:c r="O14" s="40" t="n">
        <x:v>46224</x:v>
      </x:c>
    </x:row>
    <x:row r="15">
      <x:c r="A15" s="36" t="str">
        <x:v>TRT-MIC-011</x:v>
      </x:c>
      <x:c r="B15" s="36" t="str">
        <x:v>RISK-MST-011</x:v>
      </x:c>
      <x:c r="C15" s="36" t="str">
        <x:v>Four-eye approval</x:v>
      </x:c>
      <x:c r="D15" s="36" t="str">
        <x:v>Mitigate</x:v>
      </x:c>
      <x:c r="E15" s="36" t="str">
        <x:v>Aseel</x:v>
      </x:c>
      <x:c r="F15" s="36" t="str">
        <x:v>High</x:v>
      </x:c>
      <x:c r="G15" s="40" t="n">
        <x:v>46215</x:v>
      </x:c>
      <x:c r="H15" s="40" t="n">
        <x:v>46290</x:v>
      </x:c>
      <x:c r="I15" s="42" t="n">
        <x:v>273500</x:v>
      </x:c>
      <x:c r="J15" s="44" t="n">
        <x:v>58</x:v>
      </x:c>
      <x:c r="K15" s="44" t="n">
        <x:v>85</x:v>
      </x:c>
      <x:c r="L15" s="36" t="str">
        <x:v>In Progress</x:v>
      </x:c>
      <x:c r="M15" s="36" t="str">
        <x:v>Technical implementation</x:v>
      </x:c>
      <x:c r="N15" s="36" t="str">
        <x:v>Configuration evidence and approval record</x:v>
      </x:c>
      <x:c r="O15" s="40" t="n">
        <x:v>46226</x:v>
      </x:c>
    </x:row>
    <x:row r="16">
      <x:c r="A16" s="36" t="str">
        <x:v>TRT-MIC-012</x:v>
      </x:c>
      <x:c r="B16" s="36" t="str">
        <x:v>RISK-MST-012</x:v>
      </x:c>
      <x:c r="C16" s="36" t="str">
        <x:v>Exception register</x:v>
      </x:c>
      <x:c r="D16" s="36" t="str">
        <x:v>Mitigate</x:v>
      </x:c>
      <x:c r="E16" s="36" t="str">
        <x:v>Walid</x:v>
      </x:c>
      <x:c r="F16" s="36" t="str">
        <x:v>High</x:v>
      </x:c>
      <x:c r="G16" s="40" t="n">
        <x:v>46216</x:v>
      </x:c>
      <x:c r="H16" s="40" t="n">
        <x:v>46261</x:v>
      </x:c>
      <x:c r="I16" s="42" t="n">
        <x:v>255000</x:v>
      </x:c>
      <x:c r="J16" s="44" t="n">
        <x:v>61</x:v>
      </x:c>
      <x:c r="K16" s="44" t="n">
        <x:v>10</x:v>
      </x:c>
      <x:c r="L16" s="36" t="str">
        <x:v>In Progress</x:v>
      </x:c>
      <x:c r="M16" s="36" t="str">
        <x:v>Budget approval</x:v>
      </x:c>
      <x:c r="N16" s="36" t="str">
        <x:v>Configuration evidence and approval record</x:v>
      </x:c>
      <x:c r="O16" s="40" t="n">
        <x:v>46228</x:v>
      </x:c>
    </x:row>
  </x:sheetData>
  <x:mergeCells>
    <x:mergeCell ref="A1:O1"/>
    <x:mergeCell ref="A2:O2"/>
  </x:mergeCells>
  <x:conditionalFormatting sqref="A5:O16">
    <x:cfRule type="expression" dxfId="10" priority="1">
      <x:formula>MOD(ROW(),2)=0</x:formula>
    </x:cfRule>
  </x:conditionalFormatting>
  <x:conditionalFormatting sqref="J5:K16">
    <x:cfRule type="dataBar" priority="2">
      <x:dataBar>
        <x:cfvo type="min"/>
        <x:cfvo type="max"/>
        <x:color rgb="FF00A6C8"/>
      </x:dataBar>
      <x:extLst>
        <x:ext xmlns:x14="http://schemas.microsoft.com/office/spreadsheetml/2009/9/main" uri="{B025F937-C7B1-47D3-B67F-A62EFF666E3E}">
          <x14:id>{4CA7C1A4-F480-DC05-875E-077E5F9C2DB6}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32b926fb790d4cb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4CA7C1A4-F480-DC05-875E-077E5F9C2DB6}">
            <x14:dataBar gradient="1">
              <x14:cfvo type="min"/>
              <x14:cfvo type="max"/>
              <x14:fillColor rgb="FF00A6C8"/>
            </x14:dataBar>
          </x14:cfRule>
          <xm:sqref>J5:K16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22" hidden="0" customWidth="1"/>
    <x:col min="5" max="5" width="44" hidden="0" customWidth="1"/>
    <x:col min="6" max="6" width="22" hidden="0" customWidth="1"/>
    <x:col min="7" max="7" width="18" hidden="0" customWidth="1"/>
    <x:col min="8" max="8" width="18" hidden="0" customWidth="1"/>
    <x:col min="9" max="9" width="16" hidden="0" customWidth="1"/>
    <x:col min="10" max="10" width="14" hidden="0" customWidth="1"/>
    <x:col min="11" max="11" width="14" hidden="0" customWidth="1"/>
    <x:col min="12" max="12" width="22" hidden="0" customWidth="1"/>
    <x:col min="13" max="13" width="28" hidden="0" customWidth="1"/>
  </x:cols>
  <x:sheetData>
    <x:row r="1" ht="34" customHeight="1">
      <x:c r="A1" s="5" t="str">
        <x:v>Microsoft Control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6" customHeight="1">
      <x:c r="A2" s="12" t="str">
        <x:v>Synthetic control mappings, implementation status, effectiveness, testing schedule, ownership, and linked risks.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 ht="34" customHeight="1">
      <x:c r="A4" s="28" t="str">
        <x:v>Control ID</x:v>
      </x:c>
      <x:c r="B4" s="28" t="str">
        <x:v>Control Name</x:v>
      </x:c>
      <x:c r="C4" s="28" t="str">
        <x:v>Control Domain</x:v>
      </x:c>
      <x:c r="D4" s="28" t="str">
        <x:v>Applicable Framework</x:v>
      </x:c>
      <x:c r="E4" s="28" t="str">
        <x:v>Control Objective</x:v>
      </x:c>
      <x:c r="F4" s="28" t="str">
        <x:v>Implementation Status</x:v>
      </x:c>
      <x:c r="G4" s="28" t="str">
        <x:v>Control Effectiveness (%)</x:v>
      </x:c>
      <x:c r="H4" s="28" t="str">
        <x:v>Control Owner</x:v>
      </x:c>
      <x:c r="I4" s="28" t="str">
        <x:v>Testing Frequency</x:v>
      </x:c>
      <x:c r="J4" s="28" t="str">
        <x:v>Last Test Date</x:v>
      </x:c>
      <x:c r="K4" s="28" t="str">
        <x:v>Next Test Date</x:v>
      </x:c>
      <x:c r="L4" s="28" t="str">
        <x:v>Evidence ID</x:v>
      </x:c>
      <x:c r="M4" s="28" t="str">
        <x:v>Related Risk IDs</x:v>
      </x:c>
    </x:row>
    <x:row r="5">
      <x:c r="A5" s="36" t="str">
        <x:v>IAM-05 Conditional Access</x:v>
      </x:c>
      <x:c r="B5" s="36" t="str">
        <x:v>Named Break-Glass Accounts</x:v>
      </x:c>
      <x:c r="C5" s="36" t="str">
        <x:v>Identity and Access</x:v>
      </x:c>
      <x:c r="D5" s="36" t="str">
        <x:v>NCA ECC</x:v>
      </x:c>
      <x:c r="E5" s="36" t="str">
        <x:v>Reduce exposure to conditional access exclusion misuse.</x:v>
      </x:c>
      <x:c r="F5" s="36" t="str">
        <x:v>Partially Implemented</x:v>
      </x:c>
      <x:c r="G5" s="44" t="n">
        <x:v>72</x:v>
      </x:c>
      <x:c r="H5" s="36" t="str">
        <x:v>Lama</x:v>
      </x:c>
      <x:c r="I5" s="36" t="str">
        <x:v>Quarterly</x:v>
      </x:c>
      <x:c r="J5" s="40" t="n">
        <x:v>46195</x:v>
      </x:c>
      <x:c r="K5" s="40" t="n">
        <x:v>46269</x:v>
      </x:c>
      <x:c r="L5" s="36" t="str">
        <x:v>CTRL-EVD-MIC-001</x:v>
      </x:c>
      <x:c r="M5" s="36" t="str">
        <x:v>RISK-MST-001</x:v>
      </x:c>
    </x:row>
    <x:row r="6">
      <x:c r="A6" s="36" t="str">
        <x:v>A.5.15 Access Control</x:v>
      </x:c>
      <x:c r="B6" s="36" t="str">
        <x:v>Admin Consent Workflow</x:v>
      </x:c>
      <x:c r="C6" s="36" t="str">
        <x:v>Identity and Access</x:v>
      </x:c>
      <x:c r="D6" s="36" t="str">
        <x:v>ISO 27001</x:v>
      </x:c>
      <x:c r="E6" s="36" t="str">
        <x:v>Reduce exposure to oauth application consent abuse.</x:v>
      </x:c>
      <x:c r="F6" s="36" t="str">
        <x:v>Implemented</x:v>
      </x:c>
      <x:c r="G6" s="44" t="n">
        <x:v>84</x:v>
      </x:c>
      <x:c r="H6" s="36" t="str">
        <x:v>Yousef</x:v>
      </x:c>
      <x:c r="I6" s="36" t="str">
        <x:v>Semiannual</x:v>
      </x:c>
      <x:c r="J6" s="40" t="n">
        <x:v>46186</x:v>
      </x:c>
      <x:c r="K6" s="40" t="n">
        <x:v>46274</x:v>
      </x:c>
      <x:c r="L6" s="36" t="str">
        <x:v>CTRL-EVD-MIC-002</x:v>
      </x:c>
      <x:c r="M6" s="36" t="str">
        <x:v>RISK-MST-002</x:v>
      </x:c>
    </x:row>
    <x:row r="7">
      <x:c r="A7" s="36" t="str">
        <x:v>CLOUD-09 Secrets Management</x:v>
      </x:c>
      <x:c r="B7" s="36" t="str">
        <x:v>Rbac Scoping</x:v>
      </x:c>
      <x:c r="C7" s="36" t="str">
        <x:v>Secrets Management</x:v>
      </x:c>
      <x:c r="D7" s="36" t="str">
        <x:v>NCA CCC</x:v>
      </x:c>
      <x:c r="E7" s="36" t="str">
        <x:v>Reduce exposure to key vault secret exposure.</x:v>
      </x:c>
      <x:c r="F7" s="36" t="str">
        <x:v>Planned</x:v>
      </x:c>
      <x:c r="G7" s="44" t="n">
        <x:v>91</x:v>
      </x:c>
      <x:c r="H7" s="36" t="str">
        <x:v>Rasha</x:v>
      </x:c>
      <x:c r="I7" s="36" t="str">
        <x:v>Annual</x:v>
      </x:c>
      <x:c r="J7" s="40" t="n">
        <x:v>46177</x:v>
      </x:c>
      <x:c r="K7" s="40" t="n">
        <x:v>46279</x:v>
      </x:c>
      <x:c r="L7" s="36" t="str">
        <x:v>CTRL-EVD-MIC-003</x:v>
      </x:c>
      <x:c r="M7" s="36" t="str">
        <x:v>RISK-MST-003</x:v>
      </x:c>
    </x:row>
    <x:row r="8">
      <x:c r="A8" s="36" t="str">
        <x:v>MON-02 Security Monitoring</x:v>
      </x:c>
      <x:c r="B8" s="36" t="str">
        <x:v>Connector Health Analytics</x:v>
      </x:c>
      <x:c r="C8" s="36" t="str">
        <x:v>Monitoring</x:v>
      </x:c>
      <x:c r="D8" s="36" t="str">
        <x:v>NCA ECC</x:v>
      </x:c>
      <x:c r="E8" s="36" t="str">
        <x:v>Reduce exposure to sentinel data connector failure.</x:v>
      </x:c>
      <x:c r="F8" s="36" t="str">
        <x:v>Implemented</x:v>
      </x:c>
      <x:c r="G8" s="44" t="n">
        <x:v>58</x:v>
      </x:c>
      <x:c r="H8" s="36" t="str">
        <x:v>Faisal</x:v>
      </x:c>
      <x:c r="I8" s="36" t="str">
        <x:v>Monthly</x:v>
      </x:c>
      <x:c r="J8" s="40" t="n">
        <x:v>46168</x:v>
      </x:c>
      <x:c r="K8" s="40" t="n">
        <x:v>46284</x:v>
      </x:c>
      <x:c r="L8" s="36" t="str">
        <x:v>CTRL-EVD-MIC-004</x:v>
      </x:c>
      <x:c r="M8" s="36" t="str">
        <x:v>RISK-MST-004</x:v>
      </x:c>
    </x:row>
    <x:row r="9">
      <x:c r="A9" s="36" t="str">
        <x:v>CLOUD-12 Workload Security</x:v>
      </x:c>
      <x:c r="B9" s="36" t="str">
        <x:v>Workload Identity Scoping</x:v>
      </x:c>
      <x:c r="C9" s="36" t="str">
        <x:v>Container Security</x:v>
      </x:c>
      <x:c r="D9" s="36" t="str">
        <x:v>NCA CCC</x:v>
      </x:c>
      <x:c r="E9" s="36" t="str">
        <x:v>Reduce exposure to aks workload identity misbinding.</x:v>
      </x:c>
      <x:c r="F9" s="36" t="str">
        <x:v>Partially Implemented</x:v>
      </x:c>
      <x:c r="G9" s="44" t="n">
        <x:v>72</x:v>
      </x:c>
      <x:c r="H9" s="36" t="str">
        <x:v>Mona</x:v>
      </x:c>
      <x:c r="I9" s="36" t="str">
        <x:v>Quarterly</x:v>
      </x:c>
      <x:c r="J9" s="40" t="n">
        <x:v>46159</x:v>
      </x:c>
      <x:c r="K9" s="40" t="n">
        <x:v>46289</x:v>
      </x:c>
      <x:c r="L9" s="36" t="str">
        <x:v>CTRL-EVD-MIC-005</x:v>
      </x:c>
      <x:c r="M9" s="36" t="str">
        <x:v>RISK-MST-005</x:v>
      </x:c>
    </x:row>
    <x:row r="10">
      <x:c r="A10" s="36" t="str">
        <x:v>A.8.28 Secure Coding</x:v>
      </x:c>
      <x:c r="B10" s="36" t="str">
        <x:v>Short-Lived Tokens</x:v>
      </x:c>
      <x:c r="C10" s="36" t="str">
        <x:v>DevSecOps</x:v>
      </x:c>
      <x:c r="D10" s="36" t="str">
        <x:v>ISO 27001</x:v>
      </x:c>
      <x:c r="E10" s="36" t="str">
        <x:v>Reduce exposure to azure devops pipeline token leakage.</x:v>
      </x:c>
      <x:c r="F10" s="36" t="str">
        <x:v>Implemented</x:v>
      </x:c>
      <x:c r="G10" s="44" t="n">
        <x:v>84</x:v>
      </x:c>
      <x:c r="H10" s="36" t="str">
        <x:v>Adel</x:v>
      </x:c>
      <x:c r="I10" s="36" t="str">
        <x:v>Semiannual</x:v>
      </x:c>
      <x:c r="J10" s="40" t="n">
        <x:v>46150</x:v>
      </x:c>
      <x:c r="K10" s="40" t="n">
        <x:v>46294</x:v>
      </x:c>
      <x:c r="L10" s="36" t="str">
        <x:v>CTRL-EVD-MIC-006</x:v>
      </x:c>
      <x:c r="M10" s="36" t="str">
        <x:v>RISK-MST-006</x:v>
      </x:c>
    </x:row>
    <x:row r="11">
      <x:c r="A11" s="36" t="str">
        <x:v>AWR-03 Awareness</x:v>
      </x:c>
      <x:c r="B11" s="36" t="str">
        <x:v>Phishing-Resistant Mfa</x:v>
      </x:c>
      <x:c r="C11" s="36" t="str">
        <x:v>Social Engineering</x:v>
      </x:c>
      <x:c r="D11" s="36" t="str">
        <x:v>NCA ECC</x:v>
      </x:c>
      <x:c r="E11" s="36" t="str">
        <x:v>Reduce exposure to m365 business email compromise.</x:v>
      </x:c>
      <x:c r="F11" s="36" t="str">
        <x:v>Planned</x:v>
      </x:c>
      <x:c r="G11" s="44" t="n">
        <x:v>91</x:v>
      </x:c>
      <x:c r="H11" s="36" t="str">
        <x:v>Hanan</x:v>
      </x:c>
      <x:c r="I11" s="36" t="str">
        <x:v>Annual</x:v>
      </x:c>
      <x:c r="J11" s="40" t="n">
        <x:v>46141</x:v>
      </x:c>
      <x:c r="K11" s="40" t="n">
        <x:v>46299</x:v>
      </x:c>
      <x:c r="L11" s="36" t="str">
        <x:v>CTRL-EVD-MIC-007</x:v>
      </x:c>
      <x:c r="M11" s="36" t="str">
        <x:v>RISK-MST-007</x:v>
      </x:c>
    </x:row>
    <x:row r="12">
      <x:c r="A12" s="36" t="str">
        <x:v>END-04 Endpoint Compliance</x:v>
      </x:c>
      <x:c r="B12" s="36" t="str">
        <x:v>Policy Test Ring</x:v>
      </x:c>
      <x:c r="C12" s="36" t="str">
        <x:v>Endpoint Security</x:v>
      </x:c>
      <x:c r="D12" s="36" t="str">
        <x:v>NCA ECC</x:v>
      </x:c>
      <x:c r="E12" s="36" t="str">
        <x:v>Reduce exposure to intune compliance policy gap.</x:v>
      </x:c>
      <x:c r="F12" s="36" t="str">
        <x:v>Implemented</x:v>
      </x:c>
      <x:c r="G12" s="44" t="n">
        <x:v>58</x:v>
      </x:c>
      <x:c r="H12" s="36" t="str">
        <x:v>Saud</x:v>
      </x:c>
      <x:c r="I12" s="36" t="str">
        <x:v>Monthly</x:v>
      </x:c>
      <x:c r="J12" s="40" t="n">
        <x:v>46132</x:v>
      </x:c>
      <x:c r="K12" s="40" t="n">
        <x:v>46304</x:v>
      </x:c>
      <x:c r="L12" s="36" t="str">
        <x:v>CTRL-EVD-MIC-008</x:v>
      </x:c>
      <x:c r="M12" s="36" t="str">
        <x:v>RISK-MST-008</x:v>
      </x:c>
    </x:row>
    <x:row r="13">
      <x:c r="A13" s="36" t="str">
        <x:v>DP-06 Data Transfer</x:v>
      </x:c>
      <x:c r="B13" s="36" t="str">
        <x:v>Dlp Policies</x:v>
      </x:c>
      <x:c r="C13" s="36" t="str">
        <x:v>Data Protection</x:v>
      </x:c>
      <x:c r="D13" s="36" t="str">
        <x:v>PDPL / NCA ECC</x:v>
      </x:c>
      <x:c r="E13" s="36" t="str">
        <x:v>Reduce exposure to power platform data exfiltration.</x:v>
      </x:c>
      <x:c r="F13" s="36" t="str">
        <x:v>Partially Implemented</x:v>
      </x:c>
      <x:c r="G13" s="44" t="n">
        <x:v>72</x:v>
      </x:c>
      <x:c r="H13" s="36" t="str">
        <x:v>Nadia</x:v>
      </x:c>
      <x:c r="I13" s="36" t="str">
        <x:v>Quarterly</x:v>
      </x:c>
      <x:c r="J13" s="40" t="n">
        <x:v>46123</x:v>
      </x:c>
      <x:c r="K13" s="40" t="n">
        <x:v>46309</x:v>
      </x:c>
      <x:c r="L13" s="36" t="str">
        <x:v>CTRL-EVD-MIC-009</x:v>
      </x:c>
      <x:c r="M13" s="36" t="str">
        <x:v>RISK-MST-009</x:v>
      </x:c>
    </x:row>
    <x:row r="14">
      <x:c r="A14" s="36" t="str">
        <x:v>DR-05 Recovery Testing</x:v>
      </x:c>
      <x:c r="B14" s="36" t="str">
        <x:v>Immutable Vault Settings</x:v>
      </x:c>
      <x:c r="C14" s="36" t="str">
        <x:v>Resilience</x:v>
      </x:c>
      <x:c r="D14" s="36" t="str">
        <x:v>ISO 22301</x:v>
      </x:c>
      <x:c r="E14" s="36" t="str">
        <x:v>Reduce exposure to backup vault immutability disabled.</x:v>
      </x:c>
      <x:c r="F14" s="36" t="str">
        <x:v>Implemented</x:v>
      </x:c>
      <x:c r="G14" s="44" t="n">
        <x:v>84</x:v>
      </x:c>
      <x:c r="H14" s="36" t="str">
        <x:v>Kareem</x:v>
      </x:c>
      <x:c r="I14" s="36" t="str">
        <x:v>Semiannual</x:v>
      </x:c>
      <x:c r="J14" s="40" t="n">
        <x:v>46114</x:v>
      </x:c>
      <x:c r="K14" s="40" t="n">
        <x:v>46314</x:v>
      </x:c>
      <x:c r="L14" s="36" t="str">
        <x:v>CTRL-EVD-MIC-010</x:v>
      </x:c>
      <x:c r="M14" s="36" t="str">
        <x:v>RISK-MST-010</x:v>
      </x:c>
    </x:row>
    <x:row r="15">
      <x:c r="A15" s="36" t="str">
        <x:v>A.8.12 Data Leakage Prevention</x:v>
      </x:c>
      <x:c r="B15" s="36" t="str">
        <x:v>Four-Eye Approval</x:v>
      </x:c>
      <x:c r="C15" s="36" t="str">
        <x:v>Email Security</x:v>
      </x:c>
      <x:c r="D15" s="36" t="str">
        <x:v>ISO 27001</x:v>
      </x:c>
      <x:c r="E15" s="36" t="str">
        <x:v>Reduce exposure to transport rule misconfiguration.</x:v>
      </x:c>
      <x:c r="F15" s="36" t="str">
        <x:v>Planned</x:v>
      </x:c>
      <x:c r="G15" s="44" t="n">
        <x:v>91</x:v>
      </x:c>
      <x:c r="H15" s="36" t="str">
        <x:v>Aseel</x:v>
      </x:c>
      <x:c r="I15" s="36" t="str">
        <x:v>Annual</x:v>
      </x:c>
      <x:c r="J15" s="40" t="n">
        <x:v>46105</x:v>
      </x:c>
      <x:c r="K15" s="40" t="n">
        <x:v>46319</x:v>
      </x:c>
      <x:c r="L15" s="36" t="str">
        <x:v>CTRL-EVD-MIC-011</x:v>
      </x:c>
      <x:c r="M15" s="36" t="str">
        <x:v>RISK-MST-011</x:v>
      </x:c>
    </x:row>
    <x:row r="16">
      <x:c r="A16" s="36" t="str">
        <x:v>GOV-08 Exception Management</x:v>
      </x:c>
      <x:c r="B16" s="36" t="str">
        <x:v>Exception Register</x:v>
      </x:c>
      <x:c r="C16" s="36" t="str">
        <x:v>Governance</x:v>
      </x:c>
      <x:c r="D16" s="36" t="str">
        <x:v>NCA ECC</x:v>
      </x:c>
      <x:c r="E16" s="36" t="str">
        <x:v>Reduce exposure to cloud policy exception accumulation.</x:v>
      </x:c>
      <x:c r="F16" s="36" t="str">
        <x:v>Implemented</x:v>
      </x:c>
      <x:c r="G16" s="44" t="n">
        <x:v>58</x:v>
      </x:c>
      <x:c r="H16" s="36" t="str">
        <x:v>Walid</x:v>
      </x:c>
      <x:c r="I16" s="36" t="str">
        <x:v>Monthly</x:v>
      </x:c>
      <x:c r="J16" s="40" t="n">
        <x:v>46096</x:v>
      </x:c>
      <x:c r="K16" s="40" t="n">
        <x:v>46324</x:v>
      </x:c>
      <x:c r="L16" s="36" t="str">
        <x:v>CTRL-EVD-MIC-012</x:v>
      </x:c>
      <x:c r="M16" s="36" t="str">
        <x:v>RISK-MST-012</x:v>
      </x:c>
    </x:row>
  </x:sheetData>
  <x:mergeCells>
    <x:mergeCell ref="A1:M1"/>
    <x:mergeCell ref="A2:M2"/>
  </x:mergeCells>
  <x:conditionalFormatting sqref="A5:M16">
    <x:cfRule type="expression" dxfId="11" priority="1">
      <x:formula>MOD(ROW(),2)=0</x:formula>
    </x:cfRule>
  </x:conditionalFormatting>
  <x:conditionalFormatting sqref="G5:G16">
    <x:cfRule type="dataBar" priority="2">
      <x:dataBar>
        <x:cfvo type="min"/>
        <x:cfvo type="max"/>
        <x:color rgb="FF10B981"/>
      </x:dataBar>
      <x:extLst>
        <x:ext xmlns:x14="http://schemas.microsoft.com/office/spreadsheetml/2009/9/main" uri="{B025F937-C7B1-47D3-B67F-A62EFF666E3E}">
          <x14:id>{180B3F8E-C82A-0EAE-49EA-03E4B01B4228}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3c1068222f124bf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180B3F8E-C82A-0EAE-49EA-03E4B01B4228}">
            <x14:dataBar gradient="1">
              <x14:cfvo type="min"/>
              <x14:cfvo type="max"/>
              <x14:fillColor rgb="FF10B981"/>
            </x14:dataBar>
          </x14:cfRule>
          <xm:sqref>G5:G16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6" hidden="0" customWidth="1"/>
    <x:col min="3" max="3" width="34" hidden="0" customWidth="1"/>
    <x:col min="4" max="4" width="20" hidden="0" customWidth="1"/>
    <x:col min="5" max="5" width="14" hidden="0" customWidth="1"/>
    <x:col min="6" max="6" width="14" hidden="0" customWidth="1"/>
    <x:col min="7" max="7" width="10" hidden="0" customWidth="1"/>
    <x:col min="8" max="8" width="44" hidden="0" customWidth="1"/>
    <x:col min="9" max="9" width="12" hidden="0" customWidth="1"/>
    <x:col min="10" max="10" width="18" hidden="0" customWidth="1"/>
    <x:col min="11" max="11" width="18" hidden="0" customWidth="1"/>
    <x:col min="12" max="12" width="14" hidden="0" customWidth="1"/>
    <x:col min="13" max="13" width="14" hidden="0" customWidth="1"/>
    <x:col min="14" max="14" width="16" hidden="0" customWidth="1"/>
    <x:col min="15" max="15" width="14" hidden="0" customWidth="1"/>
    <x:col min="16" max="16" width="18" hidden="0" customWidth="1"/>
    <x:col min="17" max="17" width="32" hidden="0" customWidth="1"/>
  </x:cols>
  <x:sheetData>
    <x:row r="1" ht="34" customHeight="1">
      <x:c r="A1" s="5" t="str">
        <x:v>Microsoft Key Risk Indicator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26" customHeight="1">
      <x:c r="A2" s="12" t="str">
        <x:v>Synthetic measurable KRIs linked to risks, departments, thresholds, evidence, data source, frequency, and status.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</x:row>
    <x:row r="4" ht="34" customHeight="1">
      <x:c r="A4" s="28" t="str">
        <x:v>KRI ID</x:v>
      </x:c>
      <x:c r="B4" s="28" t="str">
        <x:v>Risk ID</x:v>
      </x:c>
      <x:c r="C4" s="28" t="str">
        <x:v>KRI Name</x:v>
      </x:c>
      <x:c r="D4" s="28" t="str">
        <x:v>Business Unit</x:v>
      </x:c>
      <x:c r="E4" s="28" t="str">
        <x:v>KRI Owner</x:v>
      </x:c>
      <x:c r="F4" s="28" t="str">
        <x:v>Measurement Frequency</x:v>
      </x:c>
      <x:c r="G4" s="28" t="str">
        <x:v>Measurement Unit</x:v>
      </x:c>
      <x:c r="H4" s="28" t="str">
        <x:v>Measurement Method / Formula</x:v>
      </x:c>
      <x:c r="I4" s="28" t="str">
        <x:v>Target Value</x:v>
      </x:c>
      <x:c r="J4" s="28" t="str">
        <x:v>Warning Threshold</x:v>
      </x:c>
      <x:c r="K4" s="28" t="str">
        <x:v>Critical Threshold</x:v>
      </x:c>
      <x:c r="L4" s="28" t="str">
        <x:v>Current Value</x:v>
      </x:c>
      <x:c r="M4" s="28" t="str">
        <x:v>KRI Status</x:v>
      </x:c>
      <x:c r="N4" s="28" t="str">
        <x:v>Data Source</x:v>
      </x:c>
      <x:c r="O4" s="28" t="str">
        <x:v>Last Measurement Date</x:v>
      </x:c>
      <x:c r="P4" s="28" t="str">
        <x:v>Evidence ID</x:v>
      </x:c>
      <x:c r="Q4" s="28" t="str">
        <x:v>Additional Notes</x:v>
      </x:c>
    </x:row>
    <x:row r="5">
      <x:c r="A5" s="36" t="str">
        <x:v>KRI-MIC-001</x:v>
      </x:c>
      <x:c r="B5" s="36" t="str">
        <x:v>RISK-MST-001</x:v>
      </x:c>
      <x:c r="C5" s="36" t="str">
        <x:v>Conditional Access exclusion misuse indicator</x:v>
      </x:c>
      <x:c r="D5" s="36" t="str">
        <x:v>Identity</x:v>
      </x:c>
      <x:c r="E5" s="36" t="str">
        <x:v>Lama</x:v>
      </x:c>
      <x:c r="F5" s="36" t="str">
        <x:v>Weekly</x:v>
      </x:c>
      <x:c r="G5" s="36" t="str">
        <x:v>Count</x:v>
      </x:c>
      <x:c r="H5" s="36" t="str">
        <x:v>Measured from approved operational telemetry and governance records.</x:v>
      </x:c>
      <x:c r="I5" s="36" t="n">
        <x:v>0</x:v>
      </x:c>
      <x:c r="J5" s="36" t="n">
        <x:v>2</x:v>
      </x:c>
      <x:c r="K5" s="36" t="n">
        <x:v>5</x:v>
      </x:c>
      <x:c r="L5" s="36" t="n">
        <x:v>1</x:v>
      </x:c>
      <x:c r="M5" s="36" t="str">
        <x:v>On Target</x:v>
      </x:c>
      <x:c r="N5" s="36" t="str">
        <x:v>SIEM</x:v>
      </x:c>
      <x:c r="O5" s="40" t="n">
        <x:v>46205</x:v>
      </x:c>
      <x:c r="P5" s="36" t="str">
        <x:v>KRI-EVD-001</x:v>
      </x:c>
      <x:c r="Q5" s="36" t="str">
        <x:v>Synthetic threshold values for testing.</x:v>
      </x:c>
    </x:row>
    <x:row r="6">
      <x:c r="A6" s="36" t="str">
        <x:v>KRI-MIC-002</x:v>
      </x:c>
      <x:c r="B6" s="36" t="str">
        <x:v>RISK-MST-002</x:v>
      </x:c>
      <x:c r="C6" s="36" t="str">
        <x:v>OAuth application consent abuse indicator</x:v>
      </x:c>
      <x:c r="D6" s="36" t="str">
        <x:v>Identity</x:v>
      </x:c>
      <x:c r="E6" s="36" t="str">
        <x:v>Yousef</x:v>
      </x:c>
      <x:c r="F6" s="36" t="str">
        <x:v>Monthly</x:v>
      </x:c>
      <x:c r="G6" s="36" t="str">
        <x:v>Count</x:v>
      </x:c>
      <x:c r="H6" s="36" t="str">
        <x:v>Measured from approved operational telemetry and governance records.</x:v>
      </x:c>
      <x:c r="I6" s="36" t="n">
        <x:v>0</x:v>
      </x:c>
      <x:c r="J6" s="36" t="n">
        <x:v>2</x:v>
      </x:c>
      <x:c r="K6" s="36" t="n">
        <x:v>5</x:v>
      </x:c>
      <x:c r="L6" s="36" t="n">
        <x:v>3</x:v>
      </x:c>
      <x:c r="M6" s="36" t="str">
        <x:v>Warning</x:v>
      </x:c>
      <x:c r="N6" s="36" t="str">
        <x:v>Manual Entry</x:v>
      </x:c>
      <x:c r="O6" s="40" t="n">
        <x:v>46206</x:v>
      </x:c>
      <x:c r="P6" s="36" t="str">
        <x:v>KRI-EVD-002</x:v>
      </x:c>
      <x:c r="Q6" s="36" t="str">
        <x:v>Synthetic threshold values for testing.</x:v>
      </x:c>
    </x:row>
    <x:row r="7">
      <x:c r="A7" s="36" t="str">
        <x:v>KRI-MIC-003</x:v>
      </x:c>
      <x:c r="B7" s="36" t="str">
        <x:v>RISK-MST-003</x:v>
      </x:c>
      <x:c r="C7" s="36" t="str">
        <x:v>Key Vault secret exposure indicator</x:v>
      </x:c>
      <x:c r="D7" s="36" t="str">
        <x:v>Cloud Security</x:v>
      </x:c>
      <x:c r="E7" s="36" t="str">
        <x:v>Rasha</x:v>
      </x:c>
      <x:c r="F7" s="36" t="str">
        <x:v>Quarterly</x:v>
      </x:c>
      <x:c r="G7" s="36" t="str">
        <x:v>%</x:v>
      </x:c>
      <x:c r="H7" s="36" t="str">
        <x:v>Measured from approved operational telemetry and governance records.</x:v>
      </x:c>
      <x:c r="I7" s="36" t="n">
        <x:v>95</x:v>
      </x:c>
      <x:c r="J7" s="36" t="n">
        <x:v>90</x:v>
      </x:c>
      <x:c r="K7" s="36" t="n">
        <x:v>80</x:v>
      </x:c>
      <x:c r="L7" s="36" t="n">
        <x:v>89</x:v>
      </x:c>
      <x:c r="M7" s="36" t="str">
        <x:v>Warning</x:v>
      </x:c>
      <x:c r="N7" s="36" t="str">
        <x:v>Excel Import</x:v>
      </x:c>
      <x:c r="O7" s="40" t="n">
        <x:v>46207</x:v>
      </x:c>
      <x:c r="P7" s="36" t="str">
        <x:v>KRI-EVD-003</x:v>
      </x:c>
      <x:c r="Q7" s="36" t="str">
        <x:v>Synthetic threshold values for testing.</x:v>
      </x:c>
    </x:row>
    <x:row r="8">
      <x:c r="A8" s="36" t="str">
        <x:v>KRI-MIC-004</x:v>
      </x:c>
      <x:c r="B8" s="36" t="str">
        <x:v>RISK-MST-004</x:v>
      </x:c>
      <x:c r="C8" s="36" t="str">
        <x:v>Sentinel data connector failure indicator</x:v>
      </x:c>
      <x:c r="D8" s="36" t="str">
        <x:v>Security Operations</x:v>
      </x:c>
      <x:c r="E8" s="36" t="str">
        <x:v>Faisal</x:v>
      </x:c>
      <x:c r="F8" s="36" t="str">
        <x:v>Daily</x:v>
      </x:c>
      <x:c r="G8" s="36" t="str">
        <x:v>Count</x:v>
      </x:c>
      <x:c r="H8" s="36" t="str">
        <x:v>Measured from approved operational telemetry and governance records.</x:v>
      </x:c>
      <x:c r="I8" s="36" t="n">
        <x:v>0</x:v>
      </x:c>
      <x:c r="J8" s="36" t="n">
        <x:v>2</x:v>
      </x:c>
      <x:c r="K8" s="36" t="n">
        <x:v>5</x:v>
      </x:c>
      <x:c r="L8" s="36" t="n">
        <x:v>0</x:v>
      </x:c>
      <x:c r="M8" s="36" t="str">
        <x:v>On Target</x:v>
      </x:c>
      <x:c r="N8" s="36" t="str">
        <x:v>API</x:v>
      </x:c>
      <x:c r="O8" s="40" t="n">
        <x:v>46208</x:v>
      </x:c>
      <x:c r="P8" s="36" t="str">
        <x:v>KRI-EVD-004</x:v>
      </x:c>
      <x:c r="Q8" s="36" t="str">
        <x:v>Synthetic threshold values for testing.</x:v>
      </x:c>
    </x:row>
    <x:row r="9">
      <x:c r="A9" s="36" t="str">
        <x:v>KRI-MIC-005</x:v>
      </x:c>
      <x:c r="B9" s="36" t="str">
        <x:v>RISK-MST-005</x:v>
      </x:c>
      <x:c r="C9" s="36" t="str">
        <x:v>AKS workload identity misbinding indicator</x:v>
      </x:c>
      <x:c r="D9" s="36" t="str">
        <x:v>Infrastructure</x:v>
      </x:c>
      <x:c r="E9" s="36" t="str">
        <x:v>Mona</x:v>
      </x:c>
      <x:c r="F9" s="36" t="str">
        <x:v>Weekly</x:v>
      </x:c>
      <x:c r="G9" s="36" t="str">
        <x:v>Count</x:v>
      </x:c>
      <x:c r="H9" s="36" t="str">
        <x:v>Measured from approved operational telemetry and governance records.</x:v>
      </x:c>
      <x:c r="I9" s="36" t="n">
        <x:v>0</x:v>
      </x:c>
      <x:c r="J9" s="36" t="n">
        <x:v>2</x:v>
      </x:c>
      <x:c r="K9" s="36" t="n">
        <x:v>5</x:v>
      </x:c>
      <x:c r="L9" s="36" t="n">
        <x:v>1</x:v>
      </x:c>
      <x:c r="M9" s="36" t="str">
        <x:v>On Target</x:v>
      </x:c>
      <x:c r="N9" s="36" t="str">
        <x:v>SIEM</x:v>
      </x:c>
      <x:c r="O9" s="40" t="n">
        <x:v>46209</x:v>
      </x:c>
      <x:c r="P9" s="36" t="str">
        <x:v>KRI-EVD-005</x:v>
      </x:c>
      <x:c r="Q9" s="36" t="str">
        <x:v>Synthetic threshold values for testing.</x:v>
      </x:c>
    </x:row>
    <x:row r="10">
      <x:c r="A10" s="36" t="str">
        <x:v>KRI-MIC-006</x:v>
      </x:c>
      <x:c r="B10" s="36" t="str">
        <x:v>RISK-MST-006</x:v>
      </x:c>
      <x:c r="C10" s="36" t="str">
        <x:v>Azure DevOps pipeline token leakage indicator</x:v>
      </x:c>
      <x:c r="D10" s="36" t="str">
        <x:v>DevOps</x:v>
      </x:c>
      <x:c r="E10" s="36" t="str">
        <x:v>Adel</x:v>
      </x:c>
      <x:c r="F10" s="36" t="str">
        <x:v>Monthly</x:v>
      </x:c>
      <x:c r="G10" s="36" t="str">
        <x:v>%</x:v>
      </x:c>
      <x:c r="H10" s="36" t="str">
        <x:v>Measured from approved operational telemetry and governance records.</x:v>
      </x:c>
      <x:c r="I10" s="36" t="n">
        <x:v>2</x:v>
      </x:c>
      <x:c r="J10" s="36" t="n">
        <x:v>5</x:v>
      </x:c>
      <x:c r="K10" s="36" t="n">
        <x:v>10</x:v>
      </x:c>
      <x:c r="L10" s="36" t="n">
        <x:v>11</x:v>
      </x:c>
      <x:c r="M10" s="36" t="str">
        <x:v>Critical</x:v>
      </x:c>
      <x:c r="N10" s="36" t="str">
        <x:v>Manual Entry</x:v>
      </x:c>
      <x:c r="O10" s="40" t="n">
        <x:v>46210</x:v>
      </x:c>
      <x:c r="P10" s="36" t="str">
        <x:v>KRI-EVD-006</x:v>
      </x:c>
      <x:c r="Q10" s="36" t="str">
        <x:v>Synthetic threshold values for testing.</x:v>
      </x:c>
    </x:row>
    <x:row r="11">
      <x:c r="A11" s="36" t="str">
        <x:v>KRI-MIC-007</x:v>
      </x:c>
      <x:c r="B11" s="36" t="str">
        <x:v>RISK-MST-007</x:v>
      </x:c>
      <x:c r="C11" s="36" t="str">
        <x:v>M365 business email compromise indicator</x:v>
      </x:c>
      <x:c r="D11" s="36" t="str">
        <x:v>Modern Workplace</x:v>
      </x:c>
      <x:c r="E11" s="36" t="str">
        <x:v>Hanan</x:v>
      </x:c>
      <x:c r="F11" s="36" t="str">
        <x:v>Quarterly</x:v>
      </x:c>
      <x:c r="G11" s="36" t="str">
        <x:v>Count</x:v>
      </x:c>
      <x:c r="H11" s="36" t="str">
        <x:v>Measured from approved operational telemetry and governance records.</x:v>
      </x:c>
      <x:c r="I11" s="36" t="n">
        <x:v>0</x:v>
      </x:c>
      <x:c r="J11" s="36" t="n">
        <x:v>2</x:v>
      </x:c>
      <x:c r="K11" s="36" t="n">
        <x:v>5</x:v>
      </x:c>
      <x:c r="L11" s="36" t="n">
        <x:v>6</x:v>
      </x:c>
      <x:c r="M11" s="36" t="str">
        <x:v>On Target</x:v>
      </x:c>
      <x:c r="N11" s="36" t="str">
        <x:v>Excel Import</x:v>
      </x:c>
      <x:c r="O11" s="40" t="n">
        <x:v>46211</x:v>
      </x:c>
      <x:c r="P11" s="36" t="str">
        <x:v>KRI-EVD-007</x:v>
      </x:c>
      <x:c r="Q11" s="36" t="str">
        <x:v>Synthetic threshold values for testing.</x:v>
      </x:c>
    </x:row>
    <x:row r="12">
      <x:c r="A12" s="36" t="str">
        <x:v>KRI-MIC-008</x:v>
      </x:c>
      <x:c r="B12" s="36" t="str">
        <x:v>RISK-MST-008</x:v>
      </x:c>
      <x:c r="C12" s="36" t="str">
        <x:v>Intune compliance policy gap indicator</x:v>
      </x:c>
      <x:c r="D12" s="36" t="str">
        <x:v>Modern Workplace</x:v>
      </x:c>
      <x:c r="E12" s="36" t="str">
        <x:v>Saud</x:v>
      </x:c>
      <x:c r="F12" s="36" t="str">
        <x:v>Daily</x:v>
      </x:c>
      <x:c r="G12" s="36" t="str">
        <x:v>Count</x:v>
      </x:c>
      <x:c r="H12" s="36" t="str">
        <x:v>Measured from approved operational telemetry and governance records.</x:v>
      </x:c>
      <x:c r="I12" s="36" t="n">
        <x:v>0</x:v>
      </x:c>
      <x:c r="J12" s="36" t="n">
        <x:v>2</x:v>
      </x:c>
      <x:c r="K12" s="36" t="n">
        <x:v>5</x:v>
      </x:c>
      <x:c r="L12" s="36" t="n">
        <x:v>0</x:v>
      </x:c>
      <x:c r="M12" s="36" t="str">
        <x:v>On Target</x:v>
      </x:c>
      <x:c r="N12" s="36" t="str">
        <x:v>API</x:v>
      </x:c>
      <x:c r="O12" s="40" t="n">
        <x:v>46212</x:v>
      </x:c>
      <x:c r="P12" s="36" t="str">
        <x:v>KRI-EVD-008</x:v>
      </x:c>
      <x:c r="Q12" s="36" t="str">
        <x:v>Synthetic threshold values for testing.</x:v>
      </x:c>
    </x:row>
    <x:row r="13">
      <x:c r="A13" s="36" t="str">
        <x:v>KRI-MIC-009</x:v>
      </x:c>
      <x:c r="B13" s="36" t="str">
        <x:v>RISK-MST-009</x:v>
      </x:c>
      <x:c r="C13" s="36" t="str">
        <x:v>Power Platform data exfiltration indicator</x:v>
      </x:c>
      <x:c r="D13" s="36" t="str">
        <x:v>Data Protection</x:v>
      </x:c>
      <x:c r="E13" s="36" t="str">
        <x:v>Nadia</x:v>
      </x:c>
      <x:c r="F13" s="36" t="str">
        <x:v>Weekly</x:v>
      </x:c>
      <x:c r="G13" s="36" t="str">
        <x:v>%</x:v>
      </x:c>
      <x:c r="H13" s="36" t="str">
        <x:v>Measured from approved operational telemetry and governance records.</x:v>
      </x:c>
      <x:c r="I13" s="36" t="n">
        <x:v>95</x:v>
      </x:c>
      <x:c r="J13" s="36" t="n">
        <x:v>90</x:v>
      </x:c>
      <x:c r="K13" s="36" t="n">
        <x:v>80</x:v>
      </x:c>
      <x:c r="L13" s="36" t="n">
        <x:v>92</x:v>
      </x:c>
      <x:c r="M13" s="36" t="str">
        <x:v>Warning</x:v>
      </x:c>
      <x:c r="N13" s="36" t="str">
        <x:v>SIEM</x:v>
      </x:c>
      <x:c r="O13" s="40" t="n">
        <x:v>46213</x:v>
      </x:c>
      <x:c r="P13" s="36" t="str">
        <x:v>KRI-EVD-009</x:v>
      </x:c>
      <x:c r="Q13" s="36" t="str">
        <x:v>Synthetic threshold values for testing.</x:v>
      </x:c>
    </x:row>
    <x:row r="14">
      <x:c r="A14" s="36" t="str">
        <x:v>KRI-MIC-010</x:v>
      </x:c>
      <x:c r="B14" s="36" t="str">
        <x:v>RISK-MST-010</x:v>
      </x:c>
      <x:c r="C14" s="36" t="str">
        <x:v>Backup vault immutability disabled indicator</x:v>
      </x:c>
      <x:c r="D14" s="36" t="str">
        <x:v>Infrastructure</x:v>
      </x:c>
      <x:c r="E14" s="36" t="str">
        <x:v>Kareem</x:v>
      </x:c>
      <x:c r="F14" s="36" t="str">
        <x:v>Monthly</x:v>
      </x:c>
      <x:c r="G14" s="36" t="str">
        <x:v>Count</x:v>
      </x:c>
      <x:c r="H14" s="36" t="str">
        <x:v>Measured from approved operational telemetry and governance records.</x:v>
      </x:c>
      <x:c r="I14" s="36" t="n">
        <x:v>0</x:v>
      </x:c>
      <x:c r="J14" s="36" t="n">
        <x:v>2</x:v>
      </x:c>
      <x:c r="K14" s="36" t="n">
        <x:v>5</x:v>
      </x:c>
      <x:c r="L14" s="36" t="n">
        <x:v>3</x:v>
      </x:c>
      <x:c r="M14" s="36" t="str">
        <x:v>Warning</x:v>
      </x:c>
      <x:c r="N14" s="36" t="str">
        <x:v>Manual Entry</x:v>
      </x:c>
      <x:c r="O14" s="40" t="n">
        <x:v>46214</x:v>
      </x:c>
      <x:c r="P14" s="36" t="str">
        <x:v>KRI-EVD-010</x:v>
      </x:c>
      <x:c r="Q14" s="36" t="str">
        <x:v>Synthetic threshold values for testing.</x:v>
      </x:c>
    </x:row>
    <x:row r="15">
      <x:c r="A15" s="36" t="str">
        <x:v>KRI-MIC-011</x:v>
      </x:c>
      <x:c r="B15" s="36" t="str">
        <x:v>RISK-MST-011</x:v>
      </x:c>
      <x:c r="C15" s="36" t="str">
        <x:v>Transport rule misconfiguration indicator</x:v>
      </x:c>
      <x:c r="D15" s="36" t="str">
        <x:v>Modern Workplace</x:v>
      </x:c>
      <x:c r="E15" s="36" t="str">
        <x:v>Aseel</x:v>
      </x:c>
      <x:c r="F15" s="36" t="str">
        <x:v>Quarterly</x:v>
      </x:c>
      <x:c r="G15" s="36" t="str">
        <x:v>Count</x:v>
      </x:c>
      <x:c r="H15" s="36" t="str">
        <x:v>Measured from approved operational telemetry and governance records.</x:v>
      </x:c>
      <x:c r="I15" s="36" t="n">
        <x:v>0</x:v>
      </x:c>
      <x:c r="J15" s="36" t="n">
        <x:v>2</x:v>
      </x:c>
      <x:c r="K15" s="36" t="n">
        <x:v>5</x:v>
      </x:c>
      <x:c r="L15" s="36" t="n">
        <x:v>6</x:v>
      </x:c>
      <x:c r="M15" s="36" t="str">
        <x:v>On Target</x:v>
      </x:c>
      <x:c r="N15" s="36" t="str">
        <x:v>Excel Import</x:v>
      </x:c>
      <x:c r="O15" s="40" t="n">
        <x:v>46215</x:v>
      </x:c>
      <x:c r="P15" s="36" t="str">
        <x:v>KRI-EVD-011</x:v>
      </x:c>
      <x:c r="Q15" s="36" t="str">
        <x:v>Synthetic threshold values for testing.</x:v>
      </x:c>
    </x:row>
    <x:row r="16">
      <x:c r="A16" s="36" t="str">
        <x:v>KRI-MIC-012</x:v>
      </x:c>
      <x:c r="B16" s="36" t="str">
        <x:v>RISK-MST-012</x:v>
      </x:c>
      <x:c r="C16" s="36" t="str">
        <x:v>Cloud policy exception accumulation indicator</x:v>
      </x:c>
      <x:c r="D16" s="36" t="str">
        <x:v>GRC</x:v>
      </x:c>
      <x:c r="E16" s="36" t="str">
        <x:v>Walid</x:v>
      </x:c>
      <x:c r="F16" s="36" t="str">
        <x:v>Daily</x:v>
      </x:c>
      <x:c r="G16" s="36" t="str">
        <x:v>%</x:v>
      </x:c>
      <x:c r="H16" s="36" t="str">
        <x:v>Measured from approved operational telemetry and governance records.</x:v>
      </x:c>
      <x:c r="I16" s="36" t="n">
        <x:v>2</x:v>
      </x:c>
      <x:c r="J16" s="36" t="n">
        <x:v>5</x:v>
      </x:c>
      <x:c r="K16" s="36" t="n">
        <x:v>10</x:v>
      </x:c>
      <x:c r="L16" s="36" t="n">
        <x:v>3</x:v>
      </x:c>
      <x:c r="M16" s="36" t="str">
        <x:v>Warning</x:v>
      </x:c>
      <x:c r="N16" s="36" t="str">
        <x:v>API</x:v>
      </x:c>
      <x:c r="O16" s="40" t="n">
        <x:v>46216</x:v>
      </x:c>
      <x:c r="P16" s="36" t="str">
        <x:v>KRI-EVD-012</x:v>
      </x:c>
      <x:c r="Q16" s="36" t="str">
        <x:v>Synthetic threshold values for testing.</x:v>
      </x:c>
    </x:row>
  </x:sheetData>
  <x:mergeCells>
    <x:mergeCell ref="A1:Q1"/>
    <x:mergeCell ref="A2:Q2"/>
  </x:mergeCells>
  <x:conditionalFormatting sqref="A5:Q16">
    <x:cfRule type="expression" dxfId="12" priority="1">
      <x:formula>MOD(ROW(),2)=0</x:formula>
    </x:cfRule>
  </x:conditionalFormatting>
  <x:conditionalFormatting sqref="M5:M16">
    <x:cfRule type="expression" dxfId="13" priority="2">
      <x:formula>$M5="Critical"</x:formula>
    </x:cfRule>
    <x:cfRule type="expression" dxfId="14" priority="3">
      <x:formula>$M5="Warning"</x:formula>
    </x:cfRule>
    <x:cfRule type="expression" dxfId="15" priority="4">
      <x:formula>$M5="On Target"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b2aed8662eb47b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7" hidden="0" customWidth="1"/>
    <x:col min="3" max="3" width="16" hidden="0" customWidth="1"/>
    <x:col min="4" max="4" width="16" hidden="0" customWidth="1"/>
    <x:col min="5" max="5" width="12" hidden="0" customWidth="1"/>
    <x:col min="6" max="6" width="10" hidden="0" customWidth="1"/>
    <x:col min="7" max="7" width="18" hidden="0" customWidth="1"/>
    <x:col min="8" max="8" width="16" hidden="0" customWidth="1"/>
    <x:col min="9" max="9" width="16" hidden="0" customWidth="1"/>
    <x:col min="10" max="10" width="22" hidden="0" customWidth="1"/>
    <x:col min="11" max="11" width="34" hidden="0" customWidth="1"/>
  </x:cols>
  <x:sheetData>
    <x:row r="1" ht="34" customHeight="1">
      <x:c r="A1" s="5" t="str">
        <x:v>Microsoft KRI Measurement History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6" customHeight="1">
      <x:c r="A2" s="12" t="str">
        <x:v>Synthetic historical measurements; prior periods are preserved rather than overwritten.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 ht="34" customHeight="1">
      <x:c r="A4" s="28" t="str">
        <x:v>Measurement ID</x:v>
      </x:c>
      <x:c r="B4" s="28" t="str">
        <x:v>KRI ID</x:v>
      </x:c>
      <x:c r="C4" s="28" t="str">
        <x:v>Measurement Date</x:v>
      </x:c>
      <x:c r="D4" s="28" t="str">
        <x:v>Reporting Period</x:v>
      </x:c>
      <x:c r="E4" s="28" t="str">
        <x:v>Measured Value</x:v>
      </x:c>
      <x:c r="F4" s="28" t="str">
        <x:v>Measurement Unit</x:v>
      </x:c>
      <x:c r="G4" s="28" t="str">
        <x:v>Calculated Status</x:v>
      </x:c>
      <x:c r="H4" s="28" t="str">
        <x:v>Measured By</x:v>
      </x:c>
      <x:c r="I4" s="28" t="str">
        <x:v>Data Source</x:v>
      </x:c>
      <x:c r="J4" s="28" t="str">
        <x:v>Evidence ID</x:v>
      </x:c>
      <x:c r="K4" s="28" t="str">
        <x:v>Measurement Notes</x:v>
      </x:c>
    </x:row>
    <x:row r="5">
      <x:c r="A5" s="36" t="str">
        <x:v>MEAS-MIC-001-1</x:v>
      </x:c>
      <x:c r="B5" s="36" t="str">
        <x:v>KRI-MIC-001</x:v>
      </x:c>
      <x:c r="C5" s="40" t="n">
        <x:v>46081</x:v>
      </x:c>
      <x:c r="D5" s="36" t="str">
        <x:v>Feb 2026</x:v>
      </x:c>
      <x:c r="E5" s="36" t="n">
        <x:v>4</x:v>
      </x:c>
      <x:c r="F5" s="36" t="str">
        <x:v>Count</x:v>
      </x:c>
      <x:c r="G5" s="36" t="str">
        <x:v>On Target</x:v>
      </x:c>
      <x:c r="H5" s="36" t="str">
        <x:v>Lama</x:v>
      </x:c>
      <x:c r="I5" s="36" t="str">
        <x:v>SIEM</x:v>
      </x:c>
      <x:c r="J5" s="36" t="str">
        <x:v>MEAS-EVD-001-1</x:v>
      </x:c>
      <x:c r="K5" s="36" t="str">
        <x:v>Synthetic historical measurement.</x:v>
      </x:c>
    </x:row>
    <x:row r="6">
      <x:c r="A6" s="36" t="str">
        <x:v>MEAS-MIC-001-2</x:v>
      </x:c>
      <x:c r="B6" s="36" t="str">
        <x:v>KRI-MIC-001</x:v>
      </x:c>
      <x:c r="C6" s="40" t="n">
        <x:v>46111</x:v>
      </x:c>
      <x:c r="D6" s="36" t="str">
        <x:v>Mar 2026</x:v>
      </x:c>
      <x:c r="E6" s="36" t="n">
        <x:v>3</x:v>
      </x:c>
      <x:c r="F6" s="36" t="str">
        <x:v>Count</x:v>
      </x:c>
      <x:c r="G6" s="36" t="str">
        <x:v>On Target</x:v>
      </x:c>
      <x:c r="H6" s="36" t="str">
        <x:v>Lama</x:v>
      </x:c>
      <x:c r="I6" s="36" t="str">
        <x:v>SIEM</x:v>
      </x:c>
      <x:c r="J6" s="36" t="str">
        <x:v>MEAS-EVD-001-2</x:v>
      </x:c>
      <x:c r="K6" s="36" t="str">
        <x:v>Synthetic historical measurement.</x:v>
      </x:c>
    </x:row>
    <x:row r="7">
      <x:c r="A7" s="36" t="str">
        <x:v>MEAS-MIC-001-3</x:v>
      </x:c>
      <x:c r="B7" s="36" t="str">
        <x:v>KRI-MIC-001</x:v>
      </x:c>
      <x:c r="C7" s="40" t="n">
        <x:v>46141</x:v>
      </x:c>
      <x:c r="D7" s="36" t="str">
        <x:v>Apr 2026</x:v>
      </x:c>
      <x:c r="E7" s="36" t="n">
        <x:v>2</x:v>
      </x:c>
      <x:c r="F7" s="36" t="str">
        <x:v>Count</x:v>
      </x:c>
      <x:c r="G7" s="36" t="str">
        <x:v>On Target</x:v>
      </x:c>
      <x:c r="H7" s="36" t="str">
        <x:v>Lama</x:v>
      </x:c>
      <x:c r="I7" s="36" t="str">
        <x:v>SIEM</x:v>
      </x:c>
      <x:c r="J7" s="36" t="str">
        <x:v>MEAS-EVD-001-3</x:v>
      </x:c>
      <x:c r="K7" s="36" t="str">
        <x:v>Synthetic historical measurement.</x:v>
      </x:c>
    </x:row>
    <x:row r="8">
      <x:c r="A8" s="36" t="str">
        <x:v>MEAS-MIC-001-4</x:v>
      </x:c>
      <x:c r="B8" s="36" t="str">
        <x:v>KRI-MIC-001</x:v>
      </x:c>
      <x:c r="C8" s="40" t="n">
        <x:v>46171</x:v>
      </x:c>
      <x:c r="D8" s="36" t="str">
        <x:v>May 2026</x:v>
      </x:c>
      <x:c r="E8" s="36" t="n">
        <x:v>1</x:v>
      </x:c>
      <x:c r="F8" s="36" t="str">
        <x:v>Count</x:v>
      </x:c>
      <x:c r="G8" s="36" t="str">
        <x:v>On Target</x:v>
      </x:c>
      <x:c r="H8" s="36" t="str">
        <x:v>Lama</x:v>
      </x:c>
      <x:c r="I8" s="36" t="str">
        <x:v>SIEM</x:v>
      </x:c>
      <x:c r="J8" s="36" t="str">
        <x:v>MEAS-EVD-001-4</x:v>
      </x:c>
      <x:c r="K8" s="36" t="str">
        <x:v>Synthetic historical measurement.</x:v>
      </x:c>
    </x:row>
    <x:row r="9">
      <x:c r="A9" s="36" t="str">
        <x:v>MEAS-MIC-001-5</x:v>
      </x:c>
      <x:c r="B9" s="36" t="str">
        <x:v>KRI-MIC-001</x:v>
      </x:c>
      <x:c r="C9" s="40" t="n">
        <x:v>46201</x:v>
      </x:c>
      <x:c r="D9" s="36" t="str">
        <x:v>Jun 2026</x:v>
      </x:c>
      <x:c r="E9" s="36" t="n">
        <x:v>0</x:v>
      </x:c>
      <x:c r="F9" s="36" t="str">
        <x:v>Count</x:v>
      </x:c>
      <x:c r="G9" s="36" t="str">
        <x:v>On Target</x:v>
      </x:c>
      <x:c r="H9" s="36" t="str">
        <x:v>Lama</x:v>
      </x:c>
      <x:c r="I9" s="36" t="str">
        <x:v>SIEM</x:v>
      </x:c>
      <x:c r="J9" s="36" t="str">
        <x:v>MEAS-EVD-001-5</x:v>
      </x:c>
      <x:c r="K9" s="36" t="str">
        <x:v>Synthetic historical measurement.</x:v>
      </x:c>
    </x:row>
    <x:row r="10">
      <x:c r="A10" s="36" t="str">
        <x:v>MEAS-MIC-001-6</x:v>
      </x:c>
      <x:c r="B10" s="36" t="str">
        <x:v>KRI-MIC-001</x:v>
      </x:c>
      <x:c r="C10" s="40" t="n">
        <x:v>46231</x:v>
      </x:c>
      <x:c r="D10" s="36" t="str">
        <x:v>Jul 2026</x:v>
      </x:c>
      <x:c r="E10" s="36" t="n">
        <x:v>0</x:v>
      </x:c>
      <x:c r="F10" s="36" t="str">
        <x:v>Count</x:v>
      </x:c>
      <x:c r="G10" s="36" t="str">
        <x:v>On Target</x:v>
      </x:c>
      <x:c r="H10" s="36" t="str">
        <x:v>Lama</x:v>
      </x:c>
      <x:c r="I10" s="36" t="str">
        <x:v>SIEM</x:v>
      </x:c>
      <x:c r="J10" s="36" t="str">
        <x:v>MEAS-EVD-001-6</x:v>
      </x:c>
      <x:c r="K10" s="36" t="str">
        <x:v>Synthetic historical measurement.</x:v>
      </x:c>
    </x:row>
    <x:row r="11">
      <x:c r="A11" s="36" t="str">
        <x:v>MEAS-MIC-002-1</x:v>
      </x:c>
      <x:c r="B11" s="36" t="str">
        <x:v>KRI-MIC-002</x:v>
      </x:c>
      <x:c r="C11" s="40" t="n">
        <x:v>46081</x:v>
      </x:c>
      <x:c r="D11" s="36" t="str">
        <x:v>Feb 2026</x:v>
      </x:c>
      <x:c r="E11" s="36" t="n">
        <x:v>0</x:v>
      </x:c>
      <x:c r="F11" s="36" t="str">
        <x:v>Count</x:v>
      </x:c>
      <x:c r="G11" s="36" t="str">
        <x:v>On Target</x:v>
      </x:c>
      <x:c r="H11" s="36" t="str">
        <x:v>Yousef</x:v>
      </x:c>
      <x:c r="I11" s="36" t="str">
        <x:v>Manual Entry</x:v>
      </x:c>
      <x:c r="J11" s="36" t="str">
        <x:v>MEAS-EVD-002-1</x:v>
      </x:c>
      <x:c r="K11" s="36" t="str">
        <x:v>Synthetic historical measurement.</x:v>
      </x:c>
    </x:row>
    <x:row r="12">
      <x:c r="A12" s="36" t="str">
        <x:v>MEAS-MIC-002-2</x:v>
      </x:c>
      <x:c r="B12" s="36" t="str">
        <x:v>KRI-MIC-002</x:v>
      </x:c>
      <x:c r="C12" s="40" t="n">
        <x:v>46111</x:v>
      </x:c>
      <x:c r="D12" s="36" t="str">
        <x:v>Mar 2026</x:v>
      </x:c>
      <x:c r="E12" s="36" t="n">
        <x:v>1</x:v>
      </x:c>
      <x:c r="F12" s="36" t="str">
        <x:v>Count</x:v>
      </x:c>
      <x:c r="G12" s="36" t="str">
        <x:v>Warning</x:v>
      </x:c>
      <x:c r="H12" s="36" t="str">
        <x:v>Yousef</x:v>
      </x:c>
      <x:c r="I12" s="36" t="str">
        <x:v>Manual Entry</x:v>
      </x:c>
      <x:c r="J12" s="36" t="str">
        <x:v>MEAS-EVD-002-2</x:v>
      </x:c>
      <x:c r="K12" s="36" t="str">
        <x:v>Synthetic historical measurement.</x:v>
      </x:c>
    </x:row>
    <x:row r="13">
      <x:c r="A13" s="36" t="str">
        <x:v>MEAS-MIC-002-3</x:v>
      </x:c>
      <x:c r="B13" s="36" t="str">
        <x:v>KRI-MIC-002</x:v>
      </x:c>
      <x:c r="C13" s="40" t="n">
        <x:v>46141</x:v>
      </x:c>
      <x:c r="D13" s="36" t="str">
        <x:v>Apr 2026</x:v>
      </x:c>
      <x:c r="E13" s="36" t="n">
        <x:v>2</x:v>
      </x:c>
      <x:c r="F13" s="36" t="str">
        <x:v>Count</x:v>
      </x:c>
      <x:c r="G13" s="36" t="str">
        <x:v>Warning</x:v>
      </x:c>
      <x:c r="H13" s="36" t="str">
        <x:v>Yousef</x:v>
      </x:c>
      <x:c r="I13" s="36" t="str">
        <x:v>Manual Entry</x:v>
      </x:c>
      <x:c r="J13" s="36" t="str">
        <x:v>MEAS-EVD-002-3</x:v>
      </x:c>
      <x:c r="K13" s="36" t="str">
        <x:v>Synthetic historical measurement.</x:v>
      </x:c>
    </x:row>
    <x:row r="14">
      <x:c r="A14" s="36" t="str">
        <x:v>MEAS-MIC-002-4</x:v>
      </x:c>
      <x:c r="B14" s="36" t="str">
        <x:v>KRI-MIC-002</x:v>
      </x:c>
      <x:c r="C14" s="40" t="n">
        <x:v>46171</x:v>
      </x:c>
      <x:c r="D14" s="36" t="str">
        <x:v>May 2026</x:v>
      </x:c>
      <x:c r="E14" s="36" t="n">
        <x:v>3</x:v>
      </x:c>
      <x:c r="F14" s="36" t="str">
        <x:v>Count</x:v>
      </x:c>
      <x:c r="G14" s="36" t="str">
        <x:v>Warning</x:v>
      </x:c>
      <x:c r="H14" s="36" t="str">
        <x:v>Yousef</x:v>
      </x:c>
      <x:c r="I14" s="36" t="str">
        <x:v>Manual Entry</x:v>
      </x:c>
      <x:c r="J14" s="36" t="str">
        <x:v>MEAS-EVD-002-4</x:v>
      </x:c>
      <x:c r="K14" s="36" t="str">
        <x:v>Synthetic historical measurement.</x:v>
      </x:c>
    </x:row>
    <x:row r="15">
      <x:c r="A15" s="36" t="str">
        <x:v>MEAS-MIC-002-5</x:v>
      </x:c>
      <x:c r="B15" s="36" t="str">
        <x:v>KRI-MIC-002</x:v>
      </x:c>
      <x:c r="C15" s="40" t="n">
        <x:v>46201</x:v>
      </x:c>
      <x:c r="D15" s="36" t="str">
        <x:v>Jun 2026</x:v>
      </x:c>
      <x:c r="E15" s="36" t="n">
        <x:v>4</x:v>
      </x:c>
      <x:c r="F15" s="36" t="str">
        <x:v>Count</x:v>
      </x:c>
      <x:c r="G15" s="36" t="str">
        <x:v>Warning</x:v>
      </x:c>
      <x:c r="H15" s="36" t="str">
        <x:v>Yousef</x:v>
      </x:c>
      <x:c r="I15" s="36" t="str">
        <x:v>Manual Entry</x:v>
      </x:c>
      <x:c r="J15" s="36" t="str">
        <x:v>MEAS-EVD-002-5</x:v>
      </x:c>
      <x:c r="K15" s="36" t="str">
        <x:v>Synthetic historical measurement.</x:v>
      </x:c>
    </x:row>
    <x:row r="16">
      <x:c r="A16" s="36" t="str">
        <x:v>MEAS-MIC-002-6</x:v>
      </x:c>
      <x:c r="B16" s="36" t="str">
        <x:v>KRI-MIC-002</x:v>
      </x:c>
      <x:c r="C16" s="40" t="n">
        <x:v>46231</x:v>
      </x:c>
      <x:c r="D16" s="36" t="str">
        <x:v>Jul 2026</x:v>
      </x:c>
      <x:c r="E16" s="36" t="n">
        <x:v>5</x:v>
      </x:c>
      <x:c r="F16" s="36" t="str">
        <x:v>Count</x:v>
      </x:c>
      <x:c r="G16" s="36" t="str">
        <x:v>Critical</x:v>
      </x:c>
      <x:c r="H16" s="36" t="str">
        <x:v>Yousef</x:v>
      </x:c>
      <x:c r="I16" s="36" t="str">
        <x:v>Manual Entry</x:v>
      </x:c>
      <x:c r="J16" s="36" t="str">
        <x:v>MEAS-EVD-002-6</x:v>
      </x:c>
      <x:c r="K16" s="36" t="str">
        <x:v>Synthetic historical measurement.</x:v>
      </x:c>
    </x:row>
    <x:row r="17">
      <x:c r="A17" s="36" t="str">
        <x:v>MEAS-MIC-003-1</x:v>
      </x:c>
      <x:c r="B17" s="36" t="str">
        <x:v>KRI-MIC-003</x:v>
      </x:c>
      <x:c r="C17" s="40" t="n">
        <x:v>46081</x:v>
      </x:c>
      <x:c r="D17" s="36" t="str">
        <x:v>Feb 2026</x:v>
      </x:c>
      <x:c r="E17" s="36" t="n">
        <x:v>92</x:v>
      </x:c>
      <x:c r="F17" s="36" t="str">
        <x:v>%</x:v>
      </x:c>
      <x:c r="G17" s="36" t="str">
        <x:v>Warning</x:v>
      </x:c>
      <x:c r="H17" s="36" t="str">
        <x:v>Rasha</x:v>
      </x:c>
      <x:c r="I17" s="36" t="str">
        <x:v>Excel Import</x:v>
      </x:c>
      <x:c r="J17" s="36" t="str">
        <x:v>MEAS-EVD-003-1</x:v>
      </x:c>
      <x:c r="K17" s="36" t="str">
        <x:v>Synthetic historical measurement.</x:v>
      </x:c>
    </x:row>
    <x:row r="18">
      <x:c r="A18" s="36" t="str">
        <x:v>MEAS-MIC-003-2</x:v>
      </x:c>
      <x:c r="B18" s="36" t="str">
        <x:v>KRI-MIC-003</x:v>
      </x:c>
      <x:c r="C18" s="40" t="n">
        <x:v>46111</x:v>
      </x:c>
      <x:c r="D18" s="36" t="str">
        <x:v>Mar 2026</x:v>
      </x:c>
      <x:c r="E18" s="36" t="n">
        <x:v>91</x:v>
      </x:c>
      <x:c r="F18" s="36" t="str">
        <x:v>%</x:v>
      </x:c>
      <x:c r="G18" s="36" t="str">
        <x:v>Warning</x:v>
      </x:c>
      <x:c r="H18" s="36" t="str">
        <x:v>Rasha</x:v>
      </x:c>
      <x:c r="I18" s="36" t="str">
        <x:v>Excel Import</x:v>
      </x:c>
      <x:c r="J18" s="36" t="str">
        <x:v>MEAS-EVD-003-2</x:v>
      </x:c>
      <x:c r="K18" s="36" t="str">
        <x:v>Synthetic historical measurement.</x:v>
      </x:c>
    </x:row>
    <x:row r="19">
      <x:c r="A19" s="36" t="str">
        <x:v>MEAS-MIC-003-3</x:v>
      </x:c>
      <x:c r="B19" s="36" t="str">
        <x:v>KRI-MIC-003</x:v>
      </x:c>
      <x:c r="C19" s="40" t="n">
        <x:v>46141</x:v>
      </x:c>
      <x:c r="D19" s="36" t="str">
        <x:v>Apr 2026</x:v>
      </x:c>
      <x:c r="E19" s="36" t="n">
        <x:v>90</x:v>
      </x:c>
      <x:c r="F19" s="36" t="str">
        <x:v>%</x:v>
      </x:c>
      <x:c r="G19" s="36" t="str">
        <x:v>Warning</x:v>
      </x:c>
      <x:c r="H19" s="36" t="str">
        <x:v>Rasha</x:v>
      </x:c>
      <x:c r="I19" s="36" t="str">
        <x:v>Excel Import</x:v>
      </x:c>
      <x:c r="J19" s="36" t="str">
        <x:v>MEAS-EVD-003-3</x:v>
      </x:c>
      <x:c r="K19" s="36" t="str">
        <x:v>Synthetic historical measurement.</x:v>
      </x:c>
    </x:row>
    <x:row r="20">
      <x:c r="A20" s="36" t="str">
        <x:v>MEAS-MIC-003-4</x:v>
      </x:c>
      <x:c r="B20" s="36" t="str">
        <x:v>KRI-MIC-003</x:v>
      </x:c>
      <x:c r="C20" s="40" t="n">
        <x:v>46171</x:v>
      </x:c>
      <x:c r="D20" s="36" t="str">
        <x:v>May 2026</x:v>
      </x:c>
      <x:c r="E20" s="36" t="n">
        <x:v>89</x:v>
      </x:c>
      <x:c r="F20" s="36" t="str">
        <x:v>%</x:v>
      </x:c>
      <x:c r="G20" s="36" t="str">
        <x:v>Warning</x:v>
      </x:c>
      <x:c r="H20" s="36" t="str">
        <x:v>Rasha</x:v>
      </x:c>
      <x:c r="I20" s="36" t="str">
        <x:v>Excel Import</x:v>
      </x:c>
      <x:c r="J20" s="36" t="str">
        <x:v>MEAS-EVD-003-4</x:v>
      </x:c>
      <x:c r="K20" s="36" t="str">
        <x:v>Synthetic historical measurement.</x:v>
      </x:c>
    </x:row>
    <x:row r="21">
      <x:c r="A21" s="36" t="str">
        <x:v>MEAS-MIC-003-5</x:v>
      </x:c>
      <x:c r="B21" s="36" t="str">
        <x:v>KRI-MIC-003</x:v>
      </x:c>
      <x:c r="C21" s="40" t="n">
        <x:v>46201</x:v>
      </x:c>
      <x:c r="D21" s="36" t="str">
        <x:v>Jun 2026</x:v>
      </x:c>
      <x:c r="E21" s="36" t="n">
        <x:v>88</x:v>
      </x:c>
      <x:c r="F21" s="36" t="str">
        <x:v>%</x:v>
      </x:c>
      <x:c r="G21" s="36" t="str">
        <x:v>Warning</x:v>
      </x:c>
      <x:c r="H21" s="36" t="str">
        <x:v>Rasha</x:v>
      </x:c>
      <x:c r="I21" s="36" t="str">
        <x:v>Excel Import</x:v>
      </x:c>
      <x:c r="J21" s="36" t="str">
        <x:v>MEAS-EVD-003-5</x:v>
      </x:c>
      <x:c r="K21" s="36" t="str">
        <x:v>Synthetic historical measurement.</x:v>
      </x:c>
    </x:row>
    <x:row r="22">
      <x:c r="A22" s="36" t="str">
        <x:v>MEAS-MIC-003-6</x:v>
      </x:c>
      <x:c r="B22" s="36" t="str">
        <x:v>KRI-MIC-003</x:v>
      </x:c>
      <x:c r="C22" s="40" t="n">
        <x:v>46231</x:v>
      </x:c>
      <x:c r="D22" s="36" t="str">
        <x:v>Jul 2026</x:v>
      </x:c>
      <x:c r="E22" s="36" t="n">
        <x:v>87</x:v>
      </x:c>
      <x:c r="F22" s="36" t="str">
        <x:v>%</x:v>
      </x:c>
      <x:c r="G22" s="36" t="str">
        <x:v>Warning</x:v>
      </x:c>
      <x:c r="H22" s="36" t="str">
        <x:v>Rasha</x:v>
      </x:c>
      <x:c r="I22" s="36" t="str">
        <x:v>Excel Import</x:v>
      </x:c>
      <x:c r="J22" s="36" t="str">
        <x:v>MEAS-EVD-003-6</x:v>
      </x:c>
      <x:c r="K22" s="36" t="str">
        <x:v>Synthetic historical measurement.</x:v>
      </x:c>
    </x:row>
    <x:row r="23">
      <x:c r="A23" s="36" t="str">
        <x:v>MEAS-MIC-004-1</x:v>
      </x:c>
      <x:c r="B23" s="36" t="str">
        <x:v>KRI-MIC-004</x:v>
      </x:c>
      <x:c r="C23" s="40" t="n">
        <x:v>46081</x:v>
      </x:c>
      <x:c r="D23" s="36" t="str">
        <x:v>Feb 2026</x:v>
      </x:c>
      <x:c r="E23" s="36" t="n">
        <x:v>0</x:v>
      </x:c>
      <x:c r="F23" s="36" t="str">
        <x:v>Count</x:v>
      </x:c>
      <x:c r="G23" s="36" t="str">
        <x:v>On Target</x:v>
      </x:c>
      <x:c r="H23" s="36" t="str">
        <x:v>Faisal</x:v>
      </x:c>
      <x:c r="I23" s="36" t="str">
        <x:v>API</x:v>
      </x:c>
      <x:c r="J23" s="36" t="str">
        <x:v>MEAS-EVD-004-1</x:v>
      </x:c>
      <x:c r="K23" s="36" t="str">
        <x:v>Synthetic historical measurement.</x:v>
      </x:c>
    </x:row>
    <x:row r="24">
      <x:c r="A24" s="36" t="str">
        <x:v>MEAS-MIC-004-2</x:v>
      </x:c>
      <x:c r="B24" s="36" t="str">
        <x:v>KRI-MIC-004</x:v>
      </x:c>
      <x:c r="C24" s="40" t="n">
        <x:v>46111</x:v>
      </x:c>
      <x:c r="D24" s="36" t="str">
        <x:v>Mar 2026</x:v>
      </x:c>
      <x:c r="E24" s="36" t="n">
        <x:v>0</x:v>
      </x:c>
      <x:c r="F24" s="36" t="str">
        <x:v>Count</x:v>
      </x:c>
      <x:c r="G24" s="36" t="str">
        <x:v>On Target</x:v>
      </x:c>
      <x:c r="H24" s="36" t="str">
        <x:v>Faisal</x:v>
      </x:c>
      <x:c r="I24" s="36" t="str">
        <x:v>API</x:v>
      </x:c>
      <x:c r="J24" s="36" t="str">
        <x:v>MEAS-EVD-004-2</x:v>
      </x:c>
      <x:c r="K24" s="36" t="str">
        <x:v>Synthetic historical measurement.</x:v>
      </x:c>
    </x:row>
    <x:row r="25">
      <x:c r="A25" s="36" t="str">
        <x:v>MEAS-MIC-004-3</x:v>
      </x:c>
      <x:c r="B25" s="36" t="str">
        <x:v>KRI-MIC-004</x:v>
      </x:c>
      <x:c r="C25" s="40" t="n">
        <x:v>46141</x:v>
      </x:c>
      <x:c r="D25" s="36" t="str">
        <x:v>Apr 2026</x:v>
      </x:c>
      <x:c r="E25" s="36" t="n">
        <x:v>0</x:v>
      </x:c>
      <x:c r="F25" s="36" t="str">
        <x:v>Count</x:v>
      </x:c>
      <x:c r="G25" s="36" t="str">
        <x:v>On Target</x:v>
      </x:c>
      <x:c r="H25" s="36" t="str">
        <x:v>Faisal</x:v>
      </x:c>
      <x:c r="I25" s="36" t="str">
        <x:v>API</x:v>
      </x:c>
      <x:c r="J25" s="36" t="str">
        <x:v>MEAS-EVD-004-3</x:v>
      </x:c>
      <x:c r="K25" s="36" t="str">
        <x:v>Synthetic historical measurement.</x:v>
      </x:c>
    </x:row>
    <x:row r="26">
      <x:c r="A26" s="36" t="str">
        <x:v>MEAS-MIC-004-4</x:v>
      </x:c>
      <x:c r="B26" s="36" t="str">
        <x:v>KRI-MIC-004</x:v>
      </x:c>
      <x:c r="C26" s="40" t="n">
        <x:v>46171</x:v>
      </x:c>
      <x:c r="D26" s="36" t="str">
        <x:v>May 2026</x:v>
      </x:c>
      <x:c r="E26" s="36" t="n">
        <x:v>0</x:v>
      </x:c>
      <x:c r="F26" s="36" t="str">
        <x:v>Count</x:v>
      </x:c>
      <x:c r="G26" s="36" t="str">
        <x:v>On Target</x:v>
      </x:c>
      <x:c r="H26" s="36" t="str">
        <x:v>Faisal</x:v>
      </x:c>
      <x:c r="I26" s="36" t="str">
        <x:v>API</x:v>
      </x:c>
      <x:c r="J26" s="36" t="str">
        <x:v>MEAS-EVD-004-4</x:v>
      </x:c>
      <x:c r="K26" s="36" t="str">
        <x:v>Synthetic historical measurement.</x:v>
      </x:c>
    </x:row>
    <x:row r="27">
      <x:c r="A27" s="36" t="str">
        <x:v>MEAS-MIC-004-5</x:v>
      </x:c>
      <x:c r="B27" s="36" t="str">
        <x:v>KRI-MIC-004</x:v>
      </x:c>
      <x:c r="C27" s="40" t="n">
        <x:v>46201</x:v>
      </x:c>
      <x:c r="D27" s="36" t="str">
        <x:v>Jun 2026</x:v>
      </x:c>
      <x:c r="E27" s="36" t="n">
        <x:v>1</x:v>
      </x:c>
      <x:c r="F27" s="36" t="str">
        <x:v>Count</x:v>
      </x:c>
      <x:c r="G27" s="36" t="str">
        <x:v>Warning</x:v>
      </x:c>
      <x:c r="H27" s="36" t="str">
        <x:v>Faisal</x:v>
      </x:c>
      <x:c r="I27" s="36" t="str">
        <x:v>API</x:v>
      </x:c>
      <x:c r="J27" s="36" t="str">
        <x:v>MEAS-EVD-004-5</x:v>
      </x:c>
      <x:c r="K27" s="36" t="str">
        <x:v>Synthetic historical measurement.</x:v>
      </x:c>
    </x:row>
    <x:row r="28">
      <x:c r="A28" s="36" t="str">
        <x:v>MEAS-MIC-004-6</x:v>
      </x:c>
      <x:c r="B28" s="36" t="str">
        <x:v>KRI-MIC-004</x:v>
      </x:c>
      <x:c r="C28" s="40" t="n">
        <x:v>46231</x:v>
      </x:c>
      <x:c r="D28" s="36" t="str">
        <x:v>Jul 2026</x:v>
      </x:c>
      <x:c r="E28" s="36" t="n">
        <x:v>2</x:v>
      </x:c>
      <x:c r="F28" s="36" t="str">
        <x:v>Count</x:v>
      </x:c>
      <x:c r="G28" s="36" t="str">
        <x:v>Warning</x:v>
      </x:c>
      <x:c r="H28" s="36" t="str">
        <x:v>Faisal</x:v>
      </x:c>
      <x:c r="I28" s="36" t="str">
        <x:v>API</x:v>
      </x:c>
      <x:c r="J28" s="36" t="str">
        <x:v>MEAS-EVD-004-6</x:v>
      </x:c>
      <x:c r="K28" s="36" t="str">
        <x:v>Synthetic historical measurement.</x:v>
      </x:c>
    </x:row>
    <x:row r="29">
      <x:c r="A29" s="36" t="str">
        <x:v>MEAS-MIC-005-1</x:v>
      </x:c>
      <x:c r="B29" s="36" t="str">
        <x:v>KRI-MIC-005</x:v>
      </x:c>
      <x:c r="C29" s="40" t="n">
        <x:v>46081</x:v>
      </x:c>
      <x:c r="D29" s="36" t="str">
        <x:v>Feb 2026</x:v>
      </x:c>
      <x:c r="E29" s="36" t="n">
        <x:v>4</x:v>
      </x:c>
      <x:c r="F29" s="36" t="str">
        <x:v>Count</x:v>
      </x:c>
      <x:c r="G29" s="36" t="str">
        <x:v>On Target</x:v>
      </x:c>
      <x:c r="H29" s="36" t="str">
        <x:v>Mona</x:v>
      </x:c>
      <x:c r="I29" s="36" t="str">
        <x:v>SIEM</x:v>
      </x:c>
      <x:c r="J29" s="36" t="str">
        <x:v>MEAS-EVD-005-1</x:v>
      </x:c>
      <x:c r="K29" s="36" t="str">
        <x:v>Synthetic historical measurement.</x:v>
      </x:c>
    </x:row>
    <x:row r="30">
      <x:c r="A30" s="36" t="str">
        <x:v>MEAS-MIC-005-2</x:v>
      </x:c>
      <x:c r="B30" s="36" t="str">
        <x:v>KRI-MIC-005</x:v>
      </x:c>
      <x:c r="C30" s="40" t="n">
        <x:v>46111</x:v>
      </x:c>
      <x:c r="D30" s="36" t="str">
        <x:v>Mar 2026</x:v>
      </x:c>
      <x:c r="E30" s="36" t="n">
        <x:v>3</x:v>
      </x:c>
      <x:c r="F30" s="36" t="str">
        <x:v>Count</x:v>
      </x:c>
      <x:c r="G30" s="36" t="str">
        <x:v>On Target</x:v>
      </x:c>
      <x:c r="H30" s="36" t="str">
        <x:v>Mona</x:v>
      </x:c>
      <x:c r="I30" s="36" t="str">
        <x:v>SIEM</x:v>
      </x:c>
      <x:c r="J30" s="36" t="str">
        <x:v>MEAS-EVD-005-2</x:v>
      </x:c>
      <x:c r="K30" s="36" t="str">
        <x:v>Synthetic historical measurement.</x:v>
      </x:c>
    </x:row>
    <x:row r="31">
      <x:c r="A31" s="36" t="str">
        <x:v>MEAS-MIC-005-3</x:v>
      </x:c>
      <x:c r="B31" s="36" t="str">
        <x:v>KRI-MIC-005</x:v>
      </x:c>
      <x:c r="C31" s="40" t="n">
        <x:v>46141</x:v>
      </x:c>
      <x:c r="D31" s="36" t="str">
        <x:v>Apr 2026</x:v>
      </x:c>
      <x:c r="E31" s="36" t="n">
        <x:v>2</x:v>
      </x:c>
      <x:c r="F31" s="36" t="str">
        <x:v>Count</x:v>
      </x:c>
      <x:c r="G31" s="36" t="str">
        <x:v>On Target</x:v>
      </x:c>
      <x:c r="H31" s="36" t="str">
        <x:v>Mona</x:v>
      </x:c>
      <x:c r="I31" s="36" t="str">
        <x:v>SIEM</x:v>
      </x:c>
      <x:c r="J31" s="36" t="str">
        <x:v>MEAS-EVD-005-3</x:v>
      </x:c>
      <x:c r="K31" s="36" t="str">
        <x:v>Synthetic historical measurement.</x:v>
      </x:c>
    </x:row>
    <x:row r="32">
      <x:c r="A32" s="36" t="str">
        <x:v>MEAS-MIC-005-4</x:v>
      </x:c>
      <x:c r="B32" s="36" t="str">
        <x:v>KRI-MIC-005</x:v>
      </x:c>
      <x:c r="C32" s="40" t="n">
        <x:v>46171</x:v>
      </x:c>
      <x:c r="D32" s="36" t="str">
        <x:v>May 2026</x:v>
      </x:c>
      <x:c r="E32" s="36" t="n">
        <x:v>1</x:v>
      </x:c>
      <x:c r="F32" s="36" t="str">
        <x:v>Count</x:v>
      </x:c>
      <x:c r="G32" s="36" t="str">
        <x:v>On Target</x:v>
      </x:c>
      <x:c r="H32" s="36" t="str">
        <x:v>Mona</x:v>
      </x:c>
      <x:c r="I32" s="36" t="str">
        <x:v>SIEM</x:v>
      </x:c>
      <x:c r="J32" s="36" t="str">
        <x:v>MEAS-EVD-005-4</x:v>
      </x:c>
      <x:c r="K32" s="36" t="str">
        <x:v>Synthetic historical measurement.</x:v>
      </x:c>
    </x:row>
    <x:row r="33">
      <x:c r="A33" s="36" t="str">
        <x:v>MEAS-MIC-005-5</x:v>
      </x:c>
      <x:c r="B33" s="36" t="str">
        <x:v>KRI-MIC-005</x:v>
      </x:c>
      <x:c r="C33" s="40" t="n">
        <x:v>46201</x:v>
      </x:c>
      <x:c r="D33" s="36" t="str">
        <x:v>Jun 2026</x:v>
      </x:c>
      <x:c r="E33" s="36" t="n">
        <x:v>0</x:v>
      </x:c>
      <x:c r="F33" s="36" t="str">
        <x:v>Count</x:v>
      </x:c>
      <x:c r="G33" s="36" t="str">
        <x:v>On Target</x:v>
      </x:c>
      <x:c r="H33" s="36" t="str">
        <x:v>Mona</x:v>
      </x:c>
      <x:c r="I33" s="36" t="str">
        <x:v>SIEM</x:v>
      </x:c>
      <x:c r="J33" s="36" t="str">
        <x:v>MEAS-EVD-005-5</x:v>
      </x:c>
      <x:c r="K33" s="36" t="str">
        <x:v>Synthetic historical measurement.</x:v>
      </x:c>
    </x:row>
    <x:row r="34">
      <x:c r="A34" s="36" t="str">
        <x:v>MEAS-MIC-005-6</x:v>
      </x:c>
      <x:c r="B34" s="36" t="str">
        <x:v>KRI-MIC-005</x:v>
      </x:c>
      <x:c r="C34" s="40" t="n">
        <x:v>46231</x:v>
      </x:c>
      <x:c r="D34" s="36" t="str">
        <x:v>Jul 2026</x:v>
      </x:c>
      <x:c r="E34" s="36" t="n">
        <x:v>0</x:v>
      </x:c>
      <x:c r="F34" s="36" t="str">
        <x:v>Count</x:v>
      </x:c>
      <x:c r="G34" s="36" t="str">
        <x:v>On Target</x:v>
      </x:c>
      <x:c r="H34" s="36" t="str">
        <x:v>Mona</x:v>
      </x:c>
      <x:c r="I34" s="36" t="str">
        <x:v>SIEM</x:v>
      </x:c>
      <x:c r="J34" s="36" t="str">
        <x:v>MEAS-EVD-005-6</x:v>
      </x:c>
      <x:c r="K34" s="36" t="str">
        <x:v>Synthetic historical measurement.</x:v>
      </x:c>
    </x:row>
    <x:row r="35">
      <x:c r="A35" s="36" t="str">
        <x:v>MEAS-MIC-006-1</x:v>
      </x:c>
      <x:c r="B35" s="36" t="str">
        <x:v>KRI-MIC-006</x:v>
      </x:c>
      <x:c r="C35" s="40" t="n">
        <x:v>46081</x:v>
      </x:c>
      <x:c r="D35" s="36" t="str">
        <x:v>Feb 2026</x:v>
      </x:c>
      <x:c r="E35" s="36" t="n">
        <x:v>8</x:v>
      </x:c>
      <x:c r="F35" s="36" t="str">
        <x:v>%</x:v>
      </x:c>
      <x:c r="G35" s="36" t="str">
        <x:v>Warning</x:v>
      </x:c>
      <x:c r="H35" s="36" t="str">
        <x:v>Adel</x:v>
      </x:c>
      <x:c r="I35" s="36" t="str">
        <x:v>Manual Entry</x:v>
      </x:c>
      <x:c r="J35" s="36" t="str">
        <x:v>MEAS-EVD-006-1</x:v>
      </x:c>
      <x:c r="K35" s="36" t="str">
        <x:v>Synthetic historical measurement.</x:v>
      </x:c>
    </x:row>
    <x:row r="36">
      <x:c r="A36" s="36" t="str">
        <x:v>MEAS-MIC-006-2</x:v>
      </x:c>
      <x:c r="B36" s="36" t="str">
        <x:v>KRI-MIC-006</x:v>
      </x:c>
      <x:c r="C36" s="40" t="n">
        <x:v>46111</x:v>
      </x:c>
      <x:c r="D36" s="36" t="str">
        <x:v>Mar 2026</x:v>
      </x:c>
      <x:c r="E36" s="36" t="n">
        <x:v>9</x:v>
      </x:c>
      <x:c r="F36" s="36" t="str">
        <x:v>%</x:v>
      </x:c>
      <x:c r="G36" s="36" t="str">
        <x:v>Warning</x:v>
      </x:c>
      <x:c r="H36" s="36" t="str">
        <x:v>Adel</x:v>
      </x:c>
      <x:c r="I36" s="36" t="str">
        <x:v>Manual Entry</x:v>
      </x:c>
      <x:c r="J36" s="36" t="str">
        <x:v>MEAS-EVD-006-2</x:v>
      </x:c>
      <x:c r="K36" s="36" t="str">
        <x:v>Synthetic historical measurement.</x:v>
      </x:c>
    </x:row>
    <x:row r="37">
      <x:c r="A37" s="36" t="str">
        <x:v>MEAS-MIC-006-3</x:v>
      </x:c>
      <x:c r="B37" s="36" t="str">
        <x:v>KRI-MIC-006</x:v>
      </x:c>
      <x:c r="C37" s="40" t="n">
        <x:v>46141</x:v>
      </x:c>
      <x:c r="D37" s="36" t="str">
        <x:v>Apr 2026</x:v>
      </x:c>
      <x:c r="E37" s="36" t="n">
        <x:v>10</x:v>
      </x:c>
      <x:c r="F37" s="36" t="str">
        <x:v>%</x:v>
      </x:c>
      <x:c r="G37" s="36" t="str">
        <x:v>Critical</x:v>
      </x:c>
      <x:c r="H37" s="36" t="str">
        <x:v>Adel</x:v>
      </x:c>
      <x:c r="I37" s="36" t="str">
        <x:v>Manual Entry</x:v>
      </x:c>
      <x:c r="J37" s="36" t="str">
        <x:v>MEAS-EVD-006-3</x:v>
      </x:c>
      <x:c r="K37" s="36" t="str">
        <x:v>Synthetic historical measurement.</x:v>
      </x:c>
    </x:row>
    <x:row r="38">
      <x:c r="A38" s="36" t="str">
        <x:v>MEAS-MIC-006-4</x:v>
      </x:c>
      <x:c r="B38" s="36" t="str">
        <x:v>KRI-MIC-006</x:v>
      </x:c>
      <x:c r="C38" s="40" t="n">
        <x:v>46171</x:v>
      </x:c>
      <x:c r="D38" s="36" t="str">
        <x:v>May 2026</x:v>
      </x:c>
      <x:c r="E38" s="36" t="n">
        <x:v>11</x:v>
      </x:c>
      <x:c r="F38" s="36" t="str">
        <x:v>%</x:v>
      </x:c>
      <x:c r="G38" s="36" t="str">
        <x:v>Critical</x:v>
      </x:c>
      <x:c r="H38" s="36" t="str">
        <x:v>Adel</x:v>
      </x:c>
      <x:c r="I38" s="36" t="str">
        <x:v>Manual Entry</x:v>
      </x:c>
      <x:c r="J38" s="36" t="str">
        <x:v>MEAS-EVD-006-4</x:v>
      </x:c>
      <x:c r="K38" s="36" t="str">
        <x:v>Synthetic historical measurement.</x:v>
      </x:c>
    </x:row>
    <x:row r="39">
      <x:c r="A39" s="36" t="str">
        <x:v>MEAS-MIC-006-5</x:v>
      </x:c>
      <x:c r="B39" s="36" t="str">
        <x:v>KRI-MIC-006</x:v>
      </x:c>
      <x:c r="C39" s="40" t="n">
        <x:v>46201</x:v>
      </x:c>
      <x:c r="D39" s="36" t="str">
        <x:v>Jun 2026</x:v>
      </x:c>
      <x:c r="E39" s="36" t="n">
        <x:v>12</x:v>
      </x:c>
      <x:c r="F39" s="36" t="str">
        <x:v>%</x:v>
      </x:c>
      <x:c r="G39" s="36" t="str">
        <x:v>Critical</x:v>
      </x:c>
      <x:c r="H39" s="36" t="str">
        <x:v>Adel</x:v>
      </x:c>
      <x:c r="I39" s="36" t="str">
        <x:v>Manual Entry</x:v>
      </x:c>
      <x:c r="J39" s="36" t="str">
        <x:v>MEAS-EVD-006-5</x:v>
      </x:c>
      <x:c r="K39" s="36" t="str">
        <x:v>Synthetic historical measurement.</x:v>
      </x:c>
    </x:row>
    <x:row r="40">
      <x:c r="A40" s="36" t="str">
        <x:v>MEAS-MIC-006-6</x:v>
      </x:c>
      <x:c r="B40" s="36" t="str">
        <x:v>KRI-MIC-006</x:v>
      </x:c>
      <x:c r="C40" s="40" t="n">
        <x:v>46231</x:v>
      </x:c>
      <x:c r="D40" s="36" t="str">
        <x:v>Jul 2026</x:v>
      </x:c>
      <x:c r="E40" s="36" t="n">
        <x:v>13</x:v>
      </x:c>
      <x:c r="F40" s="36" t="str">
        <x:v>%</x:v>
      </x:c>
      <x:c r="G40" s="36" t="str">
        <x:v>Critical</x:v>
      </x:c>
      <x:c r="H40" s="36" t="str">
        <x:v>Adel</x:v>
      </x:c>
      <x:c r="I40" s="36" t="str">
        <x:v>Manual Entry</x:v>
      </x:c>
      <x:c r="J40" s="36" t="str">
        <x:v>MEAS-EVD-006-6</x:v>
      </x:c>
      <x:c r="K40" s="36" t="str">
        <x:v>Synthetic historical measurement.</x:v>
      </x:c>
    </x:row>
    <x:row r="41">
      <x:c r="A41" s="36" t="str">
        <x:v>MEAS-MIC-007-1</x:v>
      </x:c>
      <x:c r="B41" s="36" t="str">
        <x:v>KRI-MIC-007</x:v>
      </x:c>
      <x:c r="C41" s="40" t="n">
        <x:v>46081</x:v>
      </x:c>
      <x:c r="D41" s="36" t="str">
        <x:v>Feb 2026</x:v>
      </x:c>
      <x:c r="E41" s="36" t="n">
        <x:v>9</x:v>
      </x:c>
      <x:c r="F41" s="36" t="str">
        <x:v>Count</x:v>
      </x:c>
      <x:c r="G41" s="36" t="str">
        <x:v>On Target</x:v>
      </x:c>
      <x:c r="H41" s="36" t="str">
        <x:v>Hanan</x:v>
      </x:c>
      <x:c r="I41" s="36" t="str">
        <x:v>Excel Import</x:v>
      </x:c>
      <x:c r="J41" s="36" t="str">
        <x:v>MEAS-EVD-007-1</x:v>
      </x:c>
      <x:c r="K41" s="36" t="str">
        <x:v>Synthetic historical measurement.</x:v>
      </x:c>
    </x:row>
    <x:row r="42">
      <x:c r="A42" s="36" t="str">
        <x:v>MEAS-MIC-007-2</x:v>
      </x:c>
      <x:c r="B42" s="36" t="str">
        <x:v>KRI-MIC-007</x:v>
      </x:c>
      <x:c r="C42" s="40" t="n">
        <x:v>46111</x:v>
      </x:c>
      <x:c r="D42" s="36" t="str">
        <x:v>Mar 2026</x:v>
      </x:c>
      <x:c r="E42" s="36" t="n">
        <x:v>8</x:v>
      </x:c>
      <x:c r="F42" s="36" t="str">
        <x:v>Count</x:v>
      </x:c>
      <x:c r="G42" s="36" t="str">
        <x:v>On Target</x:v>
      </x:c>
      <x:c r="H42" s="36" t="str">
        <x:v>Hanan</x:v>
      </x:c>
      <x:c r="I42" s="36" t="str">
        <x:v>Excel Import</x:v>
      </x:c>
      <x:c r="J42" s="36" t="str">
        <x:v>MEAS-EVD-007-2</x:v>
      </x:c>
      <x:c r="K42" s="36" t="str">
        <x:v>Synthetic historical measurement.</x:v>
      </x:c>
    </x:row>
    <x:row r="43">
      <x:c r="A43" s="36" t="str">
        <x:v>MEAS-MIC-007-3</x:v>
      </x:c>
      <x:c r="B43" s="36" t="str">
        <x:v>KRI-MIC-007</x:v>
      </x:c>
      <x:c r="C43" s="40" t="n">
        <x:v>46141</x:v>
      </x:c>
      <x:c r="D43" s="36" t="str">
        <x:v>Apr 2026</x:v>
      </x:c>
      <x:c r="E43" s="36" t="n">
        <x:v>7</x:v>
      </x:c>
      <x:c r="F43" s="36" t="str">
        <x:v>Count</x:v>
      </x:c>
      <x:c r="G43" s="36" t="str">
        <x:v>On Target</x:v>
      </x:c>
      <x:c r="H43" s="36" t="str">
        <x:v>Hanan</x:v>
      </x:c>
      <x:c r="I43" s="36" t="str">
        <x:v>Excel Import</x:v>
      </x:c>
      <x:c r="J43" s="36" t="str">
        <x:v>MEAS-EVD-007-3</x:v>
      </x:c>
      <x:c r="K43" s="36" t="str">
        <x:v>Synthetic historical measurement.</x:v>
      </x:c>
    </x:row>
    <x:row r="44">
      <x:c r="A44" s="36" t="str">
        <x:v>MEAS-MIC-007-4</x:v>
      </x:c>
      <x:c r="B44" s="36" t="str">
        <x:v>KRI-MIC-007</x:v>
      </x:c>
      <x:c r="C44" s="40" t="n">
        <x:v>46171</x:v>
      </x:c>
      <x:c r="D44" s="36" t="str">
        <x:v>May 2026</x:v>
      </x:c>
      <x:c r="E44" s="36" t="n">
        <x:v>6</x:v>
      </x:c>
      <x:c r="F44" s="36" t="str">
        <x:v>Count</x:v>
      </x:c>
      <x:c r="G44" s="36" t="str">
        <x:v>On Target</x:v>
      </x:c>
      <x:c r="H44" s="36" t="str">
        <x:v>Hanan</x:v>
      </x:c>
      <x:c r="I44" s="36" t="str">
        <x:v>Excel Import</x:v>
      </x:c>
      <x:c r="J44" s="36" t="str">
        <x:v>MEAS-EVD-007-4</x:v>
      </x:c>
      <x:c r="K44" s="36" t="str">
        <x:v>Synthetic historical measurement.</x:v>
      </x:c>
    </x:row>
    <x:row r="45">
      <x:c r="A45" s="36" t="str">
        <x:v>MEAS-MIC-007-5</x:v>
      </x:c>
      <x:c r="B45" s="36" t="str">
        <x:v>KRI-MIC-007</x:v>
      </x:c>
      <x:c r="C45" s="40" t="n">
        <x:v>46201</x:v>
      </x:c>
      <x:c r="D45" s="36" t="str">
        <x:v>Jun 2026</x:v>
      </x:c>
      <x:c r="E45" s="36" t="n">
        <x:v>5</x:v>
      </x:c>
      <x:c r="F45" s="36" t="str">
        <x:v>Count</x:v>
      </x:c>
      <x:c r="G45" s="36" t="str">
        <x:v>On Target</x:v>
      </x:c>
      <x:c r="H45" s="36" t="str">
        <x:v>Hanan</x:v>
      </x:c>
      <x:c r="I45" s="36" t="str">
        <x:v>Excel Import</x:v>
      </x:c>
      <x:c r="J45" s="36" t="str">
        <x:v>MEAS-EVD-007-5</x:v>
      </x:c>
      <x:c r="K45" s="36" t="str">
        <x:v>Synthetic historical measurement.</x:v>
      </x:c>
    </x:row>
    <x:row r="46">
      <x:c r="A46" s="36" t="str">
        <x:v>MEAS-MIC-007-6</x:v>
      </x:c>
      <x:c r="B46" s="36" t="str">
        <x:v>KRI-MIC-007</x:v>
      </x:c>
      <x:c r="C46" s="40" t="n">
        <x:v>46231</x:v>
      </x:c>
      <x:c r="D46" s="36" t="str">
        <x:v>Jul 2026</x:v>
      </x:c>
      <x:c r="E46" s="36" t="n">
        <x:v>4</x:v>
      </x:c>
      <x:c r="F46" s="36" t="str">
        <x:v>Count</x:v>
      </x:c>
      <x:c r="G46" s="36" t="str">
        <x:v>On Target</x:v>
      </x:c>
      <x:c r="H46" s="36" t="str">
        <x:v>Hanan</x:v>
      </x:c>
      <x:c r="I46" s="36" t="str">
        <x:v>Excel Import</x:v>
      </x:c>
      <x:c r="J46" s="36" t="str">
        <x:v>MEAS-EVD-007-6</x:v>
      </x:c>
      <x:c r="K46" s="36" t="str">
        <x:v>Synthetic historical measurement.</x:v>
      </x:c>
    </x:row>
    <x:row r="47">
      <x:c r="A47" s="36" t="str">
        <x:v>MEAS-MIC-008-1</x:v>
      </x:c>
      <x:c r="B47" s="36" t="str">
        <x:v>KRI-MIC-008</x:v>
      </x:c>
      <x:c r="C47" s="40" t="n">
        <x:v>46081</x:v>
      </x:c>
      <x:c r="D47" s="36" t="str">
        <x:v>Feb 2026</x:v>
      </x:c>
      <x:c r="E47" s="36" t="n">
        <x:v>0</x:v>
      </x:c>
      <x:c r="F47" s="36" t="str">
        <x:v>Count</x:v>
      </x:c>
      <x:c r="G47" s="36" t="str">
        <x:v>On Target</x:v>
      </x:c>
      <x:c r="H47" s="36" t="str">
        <x:v>Saud</x:v>
      </x:c>
      <x:c r="I47" s="36" t="str">
        <x:v>API</x:v>
      </x:c>
      <x:c r="J47" s="36" t="str">
        <x:v>MEAS-EVD-008-1</x:v>
      </x:c>
      <x:c r="K47" s="36" t="str">
        <x:v>Synthetic historical measurement.</x:v>
      </x:c>
    </x:row>
    <x:row r="48">
      <x:c r="A48" s="36" t="str">
        <x:v>MEAS-MIC-008-2</x:v>
      </x:c>
      <x:c r="B48" s="36" t="str">
        <x:v>KRI-MIC-008</x:v>
      </x:c>
      <x:c r="C48" s="40" t="n">
        <x:v>46111</x:v>
      </x:c>
      <x:c r="D48" s="36" t="str">
        <x:v>Mar 2026</x:v>
      </x:c>
      <x:c r="E48" s="36" t="n">
        <x:v>0</x:v>
      </x:c>
      <x:c r="F48" s="36" t="str">
        <x:v>Count</x:v>
      </x:c>
      <x:c r="G48" s="36" t="str">
        <x:v>On Target</x:v>
      </x:c>
      <x:c r="H48" s="36" t="str">
        <x:v>Saud</x:v>
      </x:c>
      <x:c r="I48" s="36" t="str">
        <x:v>API</x:v>
      </x:c>
      <x:c r="J48" s="36" t="str">
        <x:v>MEAS-EVD-008-2</x:v>
      </x:c>
      <x:c r="K48" s="36" t="str">
        <x:v>Synthetic historical measurement.</x:v>
      </x:c>
    </x:row>
    <x:row r="49">
      <x:c r="A49" s="36" t="str">
        <x:v>MEAS-MIC-008-3</x:v>
      </x:c>
      <x:c r="B49" s="36" t="str">
        <x:v>KRI-MIC-008</x:v>
      </x:c>
      <x:c r="C49" s="40" t="n">
        <x:v>46141</x:v>
      </x:c>
      <x:c r="D49" s="36" t="str">
        <x:v>Apr 2026</x:v>
      </x:c>
      <x:c r="E49" s="36" t="n">
        <x:v>0</x:v>
      </x:c>
      <x:c r="F49" s="36" t="str">
        <x:v>Count</x:v>
      </x:c>
      <x:c r="G49" s="36" t="str">
        <x:v>On Target</x:v>
      </x:c>
      <x:c r="H49" s="36" t="str">
        <x:v>Saud</x:v>
      </x:c>
      <x:c r="I49" s="36" t="str">
        <x:v>API</x:v>
      </x:c>
      <x:c r="J49" s="36" t="str">
        <x:v>MEAS-EVD-008-3</x:v>
      </x:c>
      <x:c r="K49" s="36" t="str">
        <x:v>Synthetic historical measurement.</x:v>
      </x:c>
    </x:row>
    <x:row r="50">
      <x:c r="A50" s="36" t="str">
        <x:v>MEAS-MIC-008-4</x:v>
      </x:c>
      <x:c r="B50" s="36" t="str">
        <x:v>KRI-MIC-008</x:v>
      </x:c>
      <x:c r="C50" s="40" t="n">
        <x:v>46171</x:v>
      </x:c>
      <x:c r="D50" s="36" t="str">
        <x:v>May 2026</x:v>
      </x:c>
      <x:c r="E50" s="36" t="n">
        <x:v>0</x:v>
      </x:c>
      <x:c r="F50" s="36" t="str">
        <x:v>Count</x:v>
      </x:c>
      <x:c r="G50" s="36" t="str">
        <x:v>On Target</x:v>
      </x:c>
      <x:c r="H50" s="36" t="str">
        <x:v>Saud</x:v>
      </x:c>
      <x:c r="I50" s="36" t="str">
        <x:v>API</x:v>
      </x:c>
      <x:c r="J50" s="36" t="str">
        <x:v>MEAS-EVD-008-4</x:v>
      </x:c>
      <x:c r="K50" s="36" t="str">
        <x:v>Synthetic historical measurement.</x:v>
      </x:c>
    </x:row>
    <x:row r="51">
      <x:c r="A51" s="36" t="str">
        <x:v>MEAS-MIC-008-5</x:v>
      </x:c>
      <x:c r="B51" s="36" t="str">
        <x:v>KRI-MIC-008</x:v>
      </x:c>
      <x:c r="C51" s="40" t="n">
        <x:v>46201</x:v>
      </x:c>
      <x:c r="D51" s="36" t="str">
        <x:v>Jun 2026</x:v>
      </x:c>
      <x:c r="E51" s="36" t="n">
        <x:v>1</x:v>
      </x:c>
      <x:c r="F51" s="36" t="str">
        <x:v>Count</x:v>
      </x:c>
      <x:c r="G51" s="36" t="str">
        <x:v>Warning</x:v>
      </x:c>
      <x:c r="H51" s="36" t="str">
        <x:v>Saud</x:v>
      </x:c>
      <x:c r="I51" s="36" t="str">
        <x:v>API</x:v>
      </x:c>
      <x:c r="J51" s="36" t="str">
        <x:v>MEAS-EVD-008-5</x:v>
      </x:c>
      <x:c r="K51" s="36" t="str">
        <x:v>Synthetic historical measurement.</x:v>
      </x:c>
    </x:row>
    <x:row r="52">
      <x:c r="A52" s="36" t="str">
        <x:v>MEAS-MIC-008-6</x:v>
      </x:c>
      <x:c r="B52" s="36" t="str">
        <x:v>KRI-MIC-008</x:v>
      </x:c>
      <x:c r="C52" s="40" t="n">
        <x:v>46231</x:v>
      </x:c>
      <x:c r="D52" s="36" t="str">
        <x:v>Jul 2026</x:v>
      </x:c>
      <x:c r="E52" s="36" t="n">
        <x:v>2</x:v>
      </x:c>
      <x:c r="F52" s="36" t="str">
        <x:v>Count</x:v>
      </x:c>
      <x:c r="G52" s="36" t="str">
        <x:v>Warning</x:v>
      </x:c>
      <x:c r="H52" s="36" t="str">
        <x:v>Saud</x:v>
      </x:c>
      <x:c r="I52" s="36" t="str">
        <x:v>API</x:v>
      </x:c>
      <x:c r="J52" s="36" t="str">
        <x:v>MEAS-EVD-008-6</x:v>
      </x:c>
      <x:c r="K52" s="36" t="str">
        <x:v>Synthetic historical measurement.</x:v>
      </x:c>
    </x:row>
    <x:row r="53">
      <x:c r="A53" s="36" t="str">
        <x:v>MEAS-MIC-009-1</x:v>
      </x:c>
      <x:c r="B53" s="36" t="str">
        <x:v>KRI-MIC-009</x:v>
      </x:c>
      <x:c r="C53" s="40" t="n">
        <x:v>46081</x:v>
      </x:c>
      <x:c r="D53" s="36" t="str">
        <x:v>Feb 2026</x:v>
      </x:c>
      <x:c r="E53" s="36" t="n">
        <x:v>95</x:v>
      </x:c>
      <x:c r="F53" s="36" t="str">
        <x:v>%</x:v>
      </x:c>
      <x:c r="G53" s="36" t="str">
        <x:v>On Target</x:v>
      </x:c>
      <x:c r="H53" s="36" t="str">
        <x:v>Nadia</x:v>
      </x:c>
      <x:c r="I53" s="36" t="str">
        <x:v>SIEM</x:v>
      </x:c>
      <x:c r="J53" s="36" t="str">
        <x:v>MEAS-EVD-009-1</x:v>
      </x:c>
      <x:c r="K53" s="36" t="str">
        <x:v>Synthetic historical measurement.</x:v>
      </x:c>
    </x:row>
    <x:row r="54">
      <x:c r="A54" s="36" t="str">
        <x:v>MEAS-MIC-009-2</x:v>
      </x:c>
      <x:c r="B54" s="36" t="str">
        <x:v>KRI-MIC-009</x:v>
      </x:c>
      <x:c r="C54" s="40" t="n">
        <x:v>46111</x:v>
      </x:c>
      <x:c r="D54" s="36" t="str">
        <x:v>Mar 2026</x:v>
      </x:c>
      <x:c r="E54" s="36" t="n">
        <x:v>94</x:v>
      </x:c>
      <x:c r="F54" s="36" t="str">
        <x:v>%</x:v>
      </x:c>
      <x:c r="G54" s="36" t="str">
        <x:v>Warning</x:v>
      </x:c>
      <x:c r="H54" s="36" t="str">
        <x:v>Nadia</x:v>
      </x:c>
      <x:c r="I54" s="36" t="str">
        <x:v>SIEM</x:v>
      </x:c>
      <x:c r="J54" s="36" t="str">
        <x:v>MEAS-EVD-009-2</x:v>
      </x:c>
      <x:c r="K54" s="36" t="str">
        <x:v>Synthetic historical measurement.</x:v>
      </x:c>
    </x:row>
    <x:row r="55">
      <x:c r="A55" s="36" t="str">
        <x:v>MEAS-MIC-009-3</x:v>
      </x:c>
      <x:c r="B55" s="36" t="str">
        <x:v>KRI-MIC-009</x:v>
      </x:c>
      <x:c r="C55" s="40" t="n">
        <x:v>46141</x:v>
      </x:c>
      <x:c r="D55" s="36" t="str">
        <x:v>Apr 2026</x:v>
      </x:c>
      <x:c r="E55" s="36" t="n">
        <x:v>93</x:v>
      </x:c>
      <x:c r="F55" s="36" t="str">
        <x:v>%</x:v>
      </x:c>
      <x:c r="G55" s="36" t="str">
        <x:v>Warning</x:v>
      </x:c>
      <x:c r="H55" s="36" t="str">
        <x:v>Nadia</x:v>
      </x:c>
      <x:c r="I55" s="36" t="str">
        <x:v>SIEM</x:v>
      </x:c>
      <x:c r="J55" s="36" t="str">
        <x:v>MEAS-EVD-009-3</x:v>
      </x:c>
      <x:c r="K55" s="36" t="str">
        <x:v>Synthetic historical measurement.</x:v>
      </x:c>
    </x:row>
    <x:row r="56">
      <x:c r="A56" s="36" t="str">
        <x:v>MEAS-MIC-009-4</x:v>
      </x:c>
      <x:c r="B56" s="36" t="str">
        <x:v>KRI-MIC-009</x:v>
      </x:c>
      <x:c r="C56" s="40" t="n">
        <x:v>46171</x:v>
      </x:c>
      <x:c r="D56" s="36" t="str">
        <x:v>May 2026</x:v>
      </x:c>
      <x:c r="E56" s="36" t="n">
        <x:v>92</x:v>
      </x:c>
      <x:c r="F56" s="36" t="str">
        <x:v>%</x:v>
      </x:c>
      <x:c r="G56" s="36" t="str">
        <x:v>Warning</x:v>
      </x:c>
      <x:c r="H56" s="36" t="str">
        <x:v>Nadia</x:v>
      </x:c>
      <x:c r="I56" s="36" t="str">
        <x:v>SIEM</x:v>
      </x:c>
      <x:c r="J56" s="36" t="str">
        <x:v>MEAS-EVD-009-4</x:v>
      </x:c>
      <x:c r="K56" s="36" t="str">
        <x:v>Synthetic historical measurement.</x:v>
      </x:c>
    </x:row>
    <x:row r="57">
      <x:c r="A57" s="36" t="str">
        <x:v>MEAS-MIC-009-5</x:v>
      </x:c>
      <x:c r="B57" s="36" t="str">
        <x:v>KRI-MIC-009</x:v>
      </x:c>
      <x:c r="C57" s="40" t="n">
        <x:v>46201</x:v>
      </x:c>
      <x:c r="D57" s="36" t="str">
        <x:v>Jun 2026</x:v>
      </x:c>
      <x:c r="E57" s="36" t="n">
        <x:v>91</x:v>
      </x:c>
      <x:c r="F57" s="36" t="str">
        <x:v>%</x:v>
      </x:c>
      <x:c r="G57" s="36" t="str">
        <x:v>Warning</x:v>
      </x:c>
      <x:c r="H57" s="36" t="str">
        <x:v>Nadia</x:v>
      </x:c>
      <x:c r="I57" s="36" t="str">
        <x:v>SIEM</x:v>
      </x:c>
      <x:c r="J57" s="36" t="str">
        <x:v>MEAS-EVD-009-5</x:v>
      </x:c>
      <x:c r="K57" s="36" t="str">
        <x:v>Synthetic historical measurement.</x:v>
      </x:c>
    </x:row>
    <x:row r="58">
      <x:c r="A58" s="36" t="str">
        <x:v>MEAS-MIC-009-6</x:v>
      </x:c>
      <x:c r="B58" s="36" t="str">
        <x:v>KRI-MIC-009</x:v>
      </x:c>
      <x:c r="C58" s="40" t="n">
        <x:v>46231</x:v>
      </x:c>
      <x:c r="D58" s="36" t="str">
        <x:v>Jul 2026</x:v>
      </x:c>
      <x:c r="E58" s="36" t="n">
        <x:v>90</x:v>
      </x:c>
      <x:c r="F58" s="36" t="str">
        <x:v>%</x:v>
      </x:c>
      <x:c r="G58" s="36" t="str">
        <x:v>Warning</x:v>
      </x:c>
      <x:c r="H58" s="36" t="str">
        <x:v>Nadia</x:v>
      </x:c>
      <x:c r="I58" s="36" t="str">
        <x:v>SIEM</x:v>
      </x:c>
      <x:c r="J58" s="36" t="str">
        <x:v>MEAS-EVD-009-6</x:v>
      </x:c>
      <x:c r="K58" s="36" t="str">
        <x:v>Synthetic historical measurement.</x:v>
      </x:c>
    </x:row>
    <x:row r="59">
      <x:c r="A59" s="36" t="str">
        <x:v>MEAS-MIC-010-1</x:v>
      </x:c>
      <x:c r="B59" s="36" t="str">
        <x:v>KRI-MIC-010</x:v>
      </x:c>
      <x:c r="C59" s="40" t="n">
        <x:v>46081</x:v>
      </x:c>
      <x:c r="D59" s="36" t="str">
        <x:v>Feb 2026</x:v>
      </x:c>
      <x:c r="E59" s="36" t="n">
        <x:v>0</x:v>
      </x:c>
      <x:c r="F59" s="36" t="str">
        <x:v>Count</x:v>
      </x:c>
      <x:c r="G59" s="36" t="str">
        <x:v>On Target</x:v>
      </x:c>
      <x:c r="H59" s="36" t="str">
        <x:v>Kareem</x:v>
      </x:c>
      <x:c r="I59" s="36" t="str">
        <x:v>Manual Entry</x:v>
      </x:c>
      <x:c r="J59" s="36" t="str">
        <x:v>MEAS-EVD-010-1</x:v>
      </x:c>
      <x:c r="K59" s="36" t="str">
        <x:v>Synthetic historical measurement.</x:v>
      </x:c>
    </x:row>
    <x:row r="60">
      <x:c r="A60" s="36" t="str">
        <x:v>MEAS-MIC-010-2</x:v>
      </x:c>
      <x:c r="B60" s="36" t="str">
        <x:v>KRI-MIC-010</x:v>
      </x:c>
      <x:c r="C60" s="40" t="n">
        <x:v>46111</x:v>
      </x:c>
      <x:c r="D60" s="36" t="str">
        <x:v>Mar 2026</x:v>
      </x:c>
      <x:c r="E60" s="36" t="n">
        <x:v>1</x:v>
      </x:c>
      <x:c r="F60" s="36" t="str">
        <x:v>Count</x:v>
      </x:c>
      <x:c r="G60" s="36" t="str">
        <x:v>Warning</x:v>
      </x:c>
      <x:c r="H60" s="36" t="str">
        <x:v>Kareem</x:v>
      </x:c>
      <x:c r="I60" s="36" t="str">
        <x:v>Manual Entry</x:v>
      </x:c>
      <x:c r="J60" s="36" t="str">
        <x:v>MEAS-EVD-010-2</x:v>
      </x:c>
      <x:c r="K60" s="36" t="str">
        <x:v>Synthetic historical measurement.</x:v>
      </x:c>
    </x:row>
    <x:row r="61">
      <x:c r="A61" s="36" t="str">
        <x:v>MEAS-MIC-010-3</x:v>
      </x:c>
      <x:c r="B61" s="36" t="str">
        <x:v>KRI-MIC-010</x:v>
      </x:c>
      <x:c r="C61" s="40" t="n">
        <x:v>46141</x:v>
      </x:c>
      <x:c r="D61" s="36" t="str">
        <x:v>Apr 2026</x:v>
      </x:c>
      <x:c r="E61" s="36" t="n">
        <x:v>2</x:v>
      </x:c>
      <x:c r="F61" s="36" t="str">
        <x:v>Count</x:v>
      </x:c>
      <x:c r="G61" s="36" t="str">
        <x:v>Warning</x:v>
      </x:c>
      <x:c r="H61" s="36" t="str">
        <x:v>Kareem</x:v>
      </x:c>
      <x:c r="I61" s="36" t="str">
        <x:v>Manual Entry</x:v>
      </x:c>
      <x:c r="J61" s="36" t="str">
        <x:v>MEAS-EVD-010-3</x:v>
      </x:c>
      <x:c r="K61" s="36" t="str">
        <x:v>Synthetic historical measurement.</x:v>
      </x:c>
    </x:row>
    <x:row r="62">
      <x:c r="A62" s="36" t="str">
        <x:v>MEAS-MIC-010-4</x:v>
      </x:c>
      <x:c r="B62" s="36" t="str">
        <x:v>KRI-MIC-010</x:v>
      </x:c>
      <x:c r="C62" s="40" t="n">
        <x:v>46171</x:v>
      </x:c>
      <x:c r="D62" s="36" t="str">
        <x:v>May 2026</x:v>
      </x:c>
      <x:c r="E62" s="36" t="n">
        <x:v>3</x:v>
      </x:c>
      <x:c r="F62" s="36" t="str">
        <x:v>Count</x:v>
      </x:c>
      <x:c r="G62" s="36" t="str">
        <x:v>Warning</x:v>
      </x:c>
      <x:c r="H62" s="36" t="str">
        <x:v>Kareem</x:v>
      </x:c>
      <x:c r="I62" s="36" t="str">
        <x:v>Manual Entry</x:v>
      </x:c>
      <x:c r="J62" s="36" t="str">
        <x:v>MEAS-EVD-010-4</x:v>
      </x:c>
      <x:c r="K62" s="36" t="str">
        <x:v>Synthetic historical measurement.</x:v>
      </x:c>
    </x:row>
    <x:row r="63">
      <x:c r="A63" s="36" t="str">
        <x:v>MEAS-MIC-010-5</x:v>
      </x:c>
      <x:c r="B63" s="36" t="str">
        <x:v>KRI-MIC-010</x:v>
      </x:c>
      <x:c r="C63" s="40" t="n">
        <x:v>46201</x:v>
      </x:c>
      <x:c r="D63" s="36" t="str">
        <x:v>Jun 2026</x:v>
      </x:c>
      <x:c r="E63" s="36" t="n">
        <x:v>4</x:v>
      </x:c>
      <x:c r="F63" s="36" t="str">
        <x:v>Count</x:v>
      </x:c>
      <x:c r="G63" s="36" t="str">
        <x:v>Warning</x:v>
      </x:c>
      <x:c r="H63" s="36" t="str">
        <x:v>Kareem</x:v>
      </x:c>
      <x:c r="I63" s="36" t="str">
        <x:v>Manual Entry</x:v>
      </x:c>
      <x:c r="J63" s="36" t="str">
        <x:v>MEAS-EVD-010-5</x:v>
      </x:c>
      <x:c r="K63" s="36" t="str">
        <x:v>Synthetic historical measurement.</x:v>
      </x:c>
    </x:row>
    <x:row r="64">
      <x:c r="A64" s="36" t="str">
        <x:v>MEAS-MIC-010-6</x:v>
      </x:c>
      <x:c r="B64" s="36" t="str">
        <x:v>KRI-MIC-010</x:v>
      </x:c>
      <x:c r="C64" s="40" t="n">
        <x:v>46231</x:v>
      </x:c>
      <x:c r="D64" s="36" t="str">
        <x:v>Jul 2026</x:v>
      </x:c>
      <x:c r="E64" s="36" t="n">
        <x:v>5</x:v>
      </x:c>
      <x:c r="F64" s="36" t="str">
        <x:v>Count</x:v>
      </x:c>
      <x:c r="G64" s="36" t="str">
        <x:v>Critical</x:v>
      </x:c>
      <x:c r="H64" s="36" t="str">
        <x:v>Kareem</x:v>
      </x:c>
      <x:c r="I64" s="36" t="str">
        <x:v>Manual Entry</x:v>
      </x:c>
      <x:c r="J64" s="36" t="str">
        <x:v>MEAS-EVD-010-6</x:v>
      </x:c>
      <x:c r="K64" s="36" t="str">
        <x:v>Synthetic historical measurement.</x:v>
      </x:c>
    </x:row>
    <x:row r="65">
      <x:c r="A65" s="36" t="str">
        <x:v>MEAS-MIC-011-1</x:v>
      </x:c>
      <x:c r="B65" s="36" t="str">
        <x:v>KRI-MIC-011</x:v>
      </x:c>
      <x:c r="C65" s="40" t="n">
        <x:v>46081</x:v>
      </x:c>
      <x:c r="D65" s="36" t="str">
        <x:v>Feb 2026</x:v>
      </x:c>
      <x:c r="E65" s="36" t="n">
        <x:v>9</x:v>
      </x:c>
      <x:c r="F65" s="36" t="str">
        <x:v>Count</x:v>
      </x:c>
      <x:c r="G65" s="36" t="str">
        <x:v>On Target</x:v>
      </x:c>
      <x:c r="H65" s="36" t="str">
        <x:v>Aseel</x:v>
      </x:c>
      <x:c r="I65" s="36" t="str">
        <x:v>Excel Import</x:v>
      </x:c>
      <x:c r="J65" s="36" t="str">
        <x:v>MEAS-EVD-011-1</x:v>
      </x:c>
      <x:c r="K65" s="36" t="str">
        <x:v>Synthetic historical measurement.</x:v>
      </x:c>
    </x:row>
    <x:row r="66">
      <x:c r="A66" s="36" t="str">
        <x:v>MEAS-MIC-011-2</x:v>
      </x:c>
      <x:c r="B66" s="36" t="str">
        <x:v>KRI-MIC-011</x:v>
      </x:c>
      <x:c r="C66" s="40" t="n">
        <x:v>46111</x:v>
      </x:c>
      <x:c r="D66" s="36" t="str">
        <x:v>Mar 2026</x:v>
      </x:c>
      <x:c r="E66" s="36" t="n">
        <x:v>8</x:v>
      </x:c>
      <x:c r="F66" s="36" t="str">
        <x:v>Count</x:v>
      </x:c>
      <x:c r="G66" s="36" t="str">
        <x:v>On Target</x:v>
      </x:c>
      <x:c r="H66" s="36" t="str">
        <x:v>Aseel</x:v>
      </x:c>
      <x:c r="I66" s="36" t="str">
        <x:v>Excel Import</x:v>
      </x:c>
      <x:c r="J66" s="36" t="str">
        <x:v>MEAS-EVD-011-2</x:v>
      </x:c>
      <x:c r="K66" s="36" t="str">
        <x:v>Synthetic historical measurement.</x:v>
      </x:c>
    </x:row>
    <x:row r="67">
      <x:c r="A67" s="36" t="str">
        <x:v>MEAS-MIC-011-3</x:v>
      </x:c>
      <x:c r="B67" s="36" t="str">
        <x:v>KRI-MIC-011</x:v>
      </x:c>
      <x:c r="C67" s="40" t="n">
        <x:v>46141</x:v>
      </x:c>
      <x:c r="D67" s="36" t="str">
        <x:v>Apr 2026</x:v>
      </x:c>
      <x:c r="E67" s="36" t="n">
        <x:v>7</x:v>
      </x:c>
      <x:c r="F67" s="36" t="str">
        <x:v>Count</x:v>
      </x:c>
      <x:c r="G67" s="36" t="str">
        <x:v>On Target</x:v>
      </x:c>
      <x:c r="H67" s="36" t="str">
        <x:v>Aseel</x:v>
      </x:c>
      <x:c r="I67" s="36" t="str">
        <x:v>Excel Import</x:v>
      </x:c>
      <x:c r="J67" s="36" t="str">
        <x:v>MEAS-EVD-011-3</x:v>
      </x:c>
      <x:c r="K67" s="36" t="str">
        <x:v>Synthetic historical measurement.</x:v>
      </x:c>
    </x:row>
    <x:row r="68">
      <x:c r="A68" s="36" t="str">
        <x:v>MEAS-MIC-011-4</x:v>
      </x:c>
      <x:c r="B68" s="36" t="str">
        <x:v>KRI-MIC-011</x:v>
      </x:c>
      <x:c r="C68" s="40" t="n">
        <x:v>46171</x:v>
      </x:c>
      <x:c r="D68" s="36" t="str">
        <x:v>May 2026</x:v>
      </x:c>
      <x:c r="E68" s="36" t="n">
        <x:v>6</x:v>
      </x:c>
      <x:c r="F68" s="36" t="str">
        <x:v>Count</x:v>
      </x:c>
      <x:c r="G68" s="36" t="str">
        <x:v>On Target</x:v>
      </x:c>
      <x:c r="H68" s="36" t="str">
        <x:v>Aseel</x:v>
      </x:c>
      <x:c r="I68" s="36" t="str">
        <x:v>Excel Import</x:v>
      </x:c>
      <x:c r="J68" s="36" t="str">
        <x:v>MEAS-EVD-011-4</x:v>
      </x:c>
      <x:c r="K68" s="36" t="str">
        <x:v>Synthetic historical measurement.</x:v>
      </x:c>
    </x:row>
    <x:row r="69">
      <x:c r="A69" s="36" t="str">
        <x:v>MEAS-MIC-011-5</x:v>
      </x:c>
      <x:c r="B69" s="36" t="str">
        <x:v>KRI-MIC-011</x:v>
      </x:c>
      <x:c r="C69" s="40" t="n">
        <x:v>46201</x:v>
      </x:c>
      <x:c r="D69" s="36" t="str">
        <x:v>Jun 2026</x:v>
      </x:c>
      <x:c r="E69" s="36" t="n">
        <x:v>5</x:v>
      </x:c>
      <x:c r="F69" s="36" t="str">
        <x:v>Count</x:v>
      </x:c>
      <x:c r="G69" s="36" t="str">
        <x:v>On Target</x:v>
      </x:c>
      <x:c r="H69" s="36" t="str">
        <x:v>Aseel</x:v>
      </x:c>
      <x:c r="I69" s="36" t="str">
        <x:v>Excel Import</x:v>
      </x:c>
      <x:c r="J69" s="36" t="str">
        <x:v>MEAS-EVD-011-5</x:v>
      </x:c>
      <x:c r="K69" s="36" t="str">
        <x:v>Synthetic historical measurement.</x:v>
      </x:c>
    </x:row>
    <x:row r="70">
      <x:c r="A70" s="36" t="str">
        <x:v>MEAS-MIC-011-6</x:v>
      </x:c>
      <x:c r="B70" s="36" t="str">
        <x:v>KRI-MIC-011</x:v>
      </x:c>
      <x:c r="C70" s="40" t="n">
        <x:v>46231</x:v>
      </x:c>
      <x:c r="D70" s="36" t="str">
        <x:v>Jul 2026</x:v>
      </x:c>
      <x:c r="E70" s="36" t="n">
        <x:v>4</x:v>
      </x:c>
      <x:c r="F70" s="36" t="str">
        <x:v>Count</x:v>
      </x:c>
      <x:c r="G70" s="36" t="str">
        <x:v>On Target</x:v>
      </x:c>
      <x:c r="H70" s="36" t="str">
        <x:v>Aseel</x:v>
      </x:c>
      <x:c r="I70" s="36" t="str">
        <x:v>Excel Import</x:v>
      </x:c>
      <x:c r="J70" s="36" t="str">
        <x:v>MEAS-EVD-011-6</x:v>
      </x:c>
      <x:c r="K70" s="36" t="str">
        <x:v>Synthetic historical measurement.</x:v>
      </x:c>
    </x:row>
    <x:row r="71">
      <x:c r="A71" s="36" t="str">
        <x:v>MEAS-MIC-012-1</x:v>
      </x:c>
      <x:c r="B71" s="36" t="str">
        <x:v>KRI-MIC-012</x:v>
      </x:c>
      <x:c r="C71" s="40" t="n">
        <x:v>46081</x:v>
      </x:c>
      <x:c r="D71" s="36" t="str">
        <x:v>Feb 2026</x:v>
      </x:c>
      <x:c r="E71" s="36" t="n">
        <x:v>0</x:v>
      </x:c>
      <x:c r="F71" s="36" t="str">
        <x:v>%</x:v>
      </x:c>
      <x:c r="G71" s="36" t="str">
        <x:v>On Target</x:v>
      </x:c>
      <x:c r="H71" s="36" t="str">
        <x:v>Walid</x:v>
      </x:c>
      <x:c r="I71" s="36" t="str">
        <x:v>API</x:v>
      </x:c>
      <x:c r="J71" s="36" t="str">
        <x:v>MEAS-EVD-012-1</x:v>
      </x:c>
      <x:c r="K71" s="36" t="str">
        <x:v>Synthetic historical measurement.</x:v>
      </x:c>
    </x:row>
    <x:row r="72">
      <x:c r="A72" s="36" t="str">
        <x:v>MEAS-MIC-012-2</x:v>
      </x:c>
      <x:c r="B72" s="36" t="str">
        <x:v>KRI-MIC-012</x:v>
      </x:c>
      <x:c r="C72" s="40" t="n">
        <x:v>46111</x:v>
      </x:c>
      <x:c r="D72" s="36" t="str">
        <x:v>Mar 2026</x:v>
      </x:c>
      <x:c r="E72" s="36" t="n">
        <x:v>1</x:v>
      </x:c>
      <x:c r="F72" s="36" t="str">
        <x:v>%</x:v>
      </x:c>
      <x:c r="G72" s="36" t="str">
        <x:v>On Target</x:v>
      </x:c>
      <x:c r="H72" s="36" t="str">
        <x:v>Walid</x:v>
      </x:c>
      <x:c r="I72" s="36" t="str">
        <x:v>API</x:v>
      </x:c>
      <x:c r="J72" s="36" t="str">
        <x:v>MEAS-EVD-012-2</x:v>
      </x:c>
      <x:c r="K72" s="36" t="str">
        <x:v>Synthetic historical measurement.</x:v>
      </x:c>
    </x:row>
    <x:row r="73">
      <x:c r="A73" s="36" t="str">
        <x:v>MEAS-MIC-012-3</x:v>
      </x:c>
      <x:c r="B73" s="36" t="str">
        <x:v>KRI-MIC-012</x:v>
      </x:c>
      <x:c r="C73" s="40" t="n">
        <x:v>46141</x:v>
      </x:c>
      <x:c r="D73" s="36" t="str">
        <x:v>Apr 2026</x:v>
      </x:c>
      <x:c r="E73" s="36" t="n">
        <x:v>2</x:v>
      </x:c>
      <x:c r="F73" s="36" t="str">
        <x:v>%</x:v>
      </x:c>
      <x:c r="G73" s="36" t="str">
        <x:v>On Target</x:v>
      </x:c>
      <x:c r="H73" s="36" t="str">
        <x:v>Walid</x:v>
      </x:c>
      <x:c r="I73" s="36" t="str">
        <x:v>API</x:v>
      </x:c>
      <x:c r="J73" s="36" t="str">
        <x:v>MEAS-EVD-012-3</x:v>
      </x:c>
      <x:c r="K73" s="36" t="str">
        <x:v>Synthetic historical measurement.</x:v>
      </x:c>
    </x:row>
    <x:row r="74">
      <x:c r="A74" s="36" t="str">
        <x:v>MEAS-MIC-012-4</x:v>
      </x:c>
      <x:c r="B74" s="36" t="str">
        <x:v>KRI-MIC-012</x:v>
      </x:c>
      <x:c r="C74" s="40" t="n">
        <x:v>46171</x:v>
      </x:c>
      <x:c r="D74" s="36" t="str">
        <x:v>May 2026</x:v>
      </x:c>
      <x:c r="E74" s="36" t="n">
        <x:v>3</x:v>
      </x:c>
      <x:c r="F74" s="36" t="str">
        <x:v>%</x:v>
      </x:c>
      <x:c r="G74" s="36" t="str">
        <x:v>Warning</x:v>
      </x:c>
      <x:c r="H74" s="36" t="str">
        <x:v>Walid</x:v>
      </x:c>
      <x:c r="I74" s="36" t="str">
        <x:v>API</x:v>
      </x:c>
      <x:c r="J74" s="36" t="str">
        <x:v>MEAS-EVD-012-4</x:v>
      </x:c>
      <x:c r="K74" s="36" t="str">
        <x:v>Synthetic historical measurement.</x:v>
      </x:c>
    </x:row>
    <x:row r="75">
      <x:c r="A75" s="36" t="str">
        <x:v>MEAS-MIC-012-5</x:v>
      </x:c>
      <x:c r="B75" s="36" t="str">
        <x:v>KRI-MIC-012</x:v>
      </x:c>
      <x:c r="C75" s="40" t="n">
        <x:v>46201</x:v>
      </x:c>
      <x:c r="D75" s="36" t="str">
        <x:v>Jun 2026</x:v>
      </x:c>
      <x:c r="E75" s="36" t="n">
        <x:v>4</x:v>
      </x:c>
      <x:c r="F75" s="36" t="str">
        <x:v>%</x:v>
      </x:c>
      <x:c r="G75" s="36" t="str">
        <x:v>Warning</x:v>
      </x:c>
      <x:c r="H75" s="36" t="str">
        <x:v>Walid</x:v>
      </x:c>
      <x:c r="I75" s="36" t="str">
        <x:v>API</x:v>
      </x:c>
      <x:c r="J75" s="36" t="str">
        <x:v>MEAS-EVD-012-5</x:v>
      </x:c>
      <x:c r="K75" s="36" t="str">
        <x:v>Synthetic historical measurement.</x:v>
      </x:c>
    </x:row>
    <x:row r="76">
      <x:c r="A76" s="36" t="str">
        <x:v>MEAS-MIC-012-6</x:v>
      </x:c>
      <x:c r="B76" s="36" t="str">
        <x:v>KRI-MIC-012</x:v>
      </x:c>
      <x:c r="C76" s="40" t="n">
        <x:v>46231</x:v>
      </x:c>
      <x:c r="D76" s="36" t="str">
        <x:v>Jul 2026</x:v>
      </x:c>
      <x:c r="E76" s="36" t="n">
        <x:v>5</x:v>
      </x:c>
      <x:c r="F76" s="36" t="str">
        <x:v>%</x:v>
      </x:c>
      <x:c r="G76" s="36" t="str">
        <x:v>Warning</x:v>
      </x:c>
      <x:c r="H76" s="36" t="str">
        <x:v>Walid</x:v>
      </x:c>
      <x:c r="I76" s="36" t="str">
        <x:v>API</x:v>
      </x:c>
      <x:c r="J76" s="36" t="str">
        <x:v>MEAS-EVD-012-6</x:v>
      </x:c>
      <x:c r="K76" s="36" t="str">
        <x:v>Synthetic historical measurement.</x:v>
      </x:c>
    </x:row>
  </x:sheetData>
  <x:mergeCells>
    <x:mergeCell ref="A1:K1"/>
    <x:mergeCell ref="A2:K2"/>
  </x:mergeCells>
  <x:conditionalFormatting sqref="A5:K76">
    <x:cfRule type="expression" dxfId="16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6f1412595a2402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52" hidden="0" customWidth="1"/>
    <x:col min="5" max="5" width="42" hidden="0" customWidth="1"/>
    <x:col min="6" max="6" width="28" hidden="0" customWidth="1"/>
    <x:col min="7" max="7" width="16" hidden="0" customWidth="1"/>
    <x:col min="8" max="8" width="30" hidden="0" customWidth="1"/>
  </x:cols>
  <x:sheetData>
    <x:row r="1" ht="34" customHeight="1">
      <x:c r="A1" s="5" t="str">
        <x:v>Microsoft Roles and Responsibilities</x:v>
      </x:c>
      <x:c r="B1" s="5"/>
      <x:c r="C1" s="5"/>
      <x:c r="D1" s="5"/>
      <x:c r="E1" s="5"/>
      <x:c r="F1" s="5"/>
      <x:c r="G1" s="5"/>
      <x:c r="H1" s="5"/>
    </x:row>
    <x:row r="2" ht="26" customHeight="1">
      <x:c r="A2" s="12" t="str">
        <x:v>Synthetic governance model for ownership, decision authority, escalation, review cadence, and evidence outputs.</x:v>
      </x:c>
      <x:c r="B2" s="12"/>
      <x:c r="C2" s="12"/>
      <x:c r="D2" s="12"/>
      <x:c r="E2" s="12"/>
      <x:c r="F2" s="12"/>
      <x:c r="G2" s="12"/>
      <x:c r="H2" s="12"/>
    </x:row>
    <x:row r="4" ht="34" customHeight="1">
      <x:c r="A4" s="28" t="str">
        <x:v>Role ID</x:v>
      </x:c>
      <x:c r="B4" s="28" t="str">
        <x:v>Role Name</x:v>
      </x:c>
      <x:c r="C4" s="28" t="str">
        <x:v>Governance Level / Function</x:v>
      </x:c>
      <x:c r="D4" s="28" t="str">
        <x:v>Primary Responsibilities</x:v>
      </x:c>
      <x:c r="E4" s="28" t="str">
        <x:v>Decision Authority</x:v>
      </x:c>
      <x:c r="F4" s="28" t="str">
        <x:v>Escalation Path</x:v>
      </x:c>
      <x:c r="G4" s="28" t="str">
        <x:v>Review Frequency</x:v>
      </x:c>
      <x:c r="H4" s="28" t="str">
        <x:v>Required Evidence / Output</x:v>
      </x:c>
    </x:row>
    <x:row r="5">
      <x:c r="A5" s="36" t="str">
        <x:v>ROLE-MIC-001</x:v>
      </x:c>
      <x:c r="B5" s="36" t="str">
        <x:v>Executive Risk Committee</x:v>
      </x:c>
      <x:c r="C5" s="36" t="str">
        <x:v>Strategic</x:v>
      </x:c>
      <x:c r="D5" s="36" t="str">
        <x:v>Approve risk appetite, critical treatment funding, and unresolved high risks.</x:v>
      </x:c>
      <x:c r="E5" s="36" t="str">
        <x:v>Approve critical risk acceptance and major investments.</x:v>
      </x:c>
      <x:c r="F5" s="36" t="str">
        <x:v>Board / Executive Leadership</x:v>
      </x:c>
      <x:c r="G5" s="36" t="str">
        <x:v>Quarterly</x:v>
      </x:c>
      <x:c r="H5" s="36" t="str">
        <x:v>Approved minutes and risk decisions</x:v>
      </x:c>
    </x:row>
    <x:row r="6">
      <x:c r="A6" s="36" t="str">
        <x:v>ROLE-MIC-002</x:v>
      </x:c>
      <x:c r="B6" s="36" t="str">
        <x:v>CISO</x:v>
      </x:c>
      <x:c r="C6" s="36" t="str">
        <x:v>Executive</x:v>
      </x:c>
      <x:c r="D6" s="36" t="str">
        <x:v>Own cybersecurity strategy, risk posture, and reporting.</x:v>
      </x:c>
      <x:c r="E6" s="36" t="str">
        <x:v>Approve security standards and escalate critical exposure.</x:v>
      </x:c>
      <x:c r="F6" s="36" t="str">
        <x:v>Executive Risk Committee</x:v>
      </x:c>
      <x:c r="G6" s="36" t="str">
        <x:v>Monthly</x:v>
      </x:c>
      <x:c r="H6" s="36" t="str">
        <x:v>Cyber risk report</x:v>
      </x:c>
    </x:row>
    <x:row r="7">
      <x:c r="A7" s="36" t="str">
        <x:v>ROLE-MIC-003</x:v>
      </x:c>
      <x:c r="B7" s="36" t="str">
        <x:v>GRC Manager</x:v>
      </x:c>
      <x:c r="C7" s="36" t="str">
        <x:v>Governance</x:v>
      </x:c>
      <x:c r="D7" s="36" t="str">
        <x:v>Maintain risk register, methodology, controls mapping, and treatment oversight.</x:v>
      </x:c>
      <x:c r="E7" s="36" t="str">
        <x:v>Approve routine risk updates and evidence closure.</x:v>
      </x:c>
      <x:c r="F7" s="36" t="str">
        <x:v>CISO</x:v>
      </x:c>
      <x:c r="G7" s="36" t="str">
        <x:v>Monthly</x:v>
      </x:c>
      <x:c r="H7" s="36" t="str">
        <x:v>Risk register and compliance mapping</x:v>
      </x:c>
    </x:row>
    <x:row r="8">
      <x:c r="A8" s="36" t="str">
        <x:v>ROLE-MIC-004</x:v>
      </x:c>
      <x:c r="B8" s="36" t="str">
        <x:v>Risk Owner</x:v>
      </x:c>
      <x:c r="C8" s="36" t="str">
        <x:v>Business / Technical</x:v>
      </x:c>
      <x:c r="D8" s="36" t="str">
        <x:v>Own assigned risk, treatment actions, evidence, and residual acceptance request.</x:v>
      </x:c>
      <x:c r="E8" s="36" t="str">
        <x:v>Propose treatment and confirm completion.</x:v>
      </x:c>
      <x:c r="F8" s="36" t="str">
        <x:v>GRC Manager</x:v>
      </x:c>
      <x:c r="G8" s="36" t="str">
        <x:v>Monthly</x:v>
      </x:c>
      <x:c r="H8" s="36" t="str">
        <x:v>Treatment evidence</x:v>
      </x:c>
    </x:row>
    <x:row r="9">
      <x:c r="A9" s="36" t="str">
        <x:v>ROLE-MIC-005</x:v>
      </x:c>
      <x:c r="B9" s="36" t="str">
        <x:v>Control Owner</x:v>
      </x:c>
      <x:c r="C9" s="36" t="str">
        <x:v>Operational</x:v>
      </x:c>
      <x:c r="D9" s="36" t="str">
        <x:v>Design, operate, test, and improve assigned controls.</x:v>
      </x:c>
      <x:c r="E9" s="36" t="str">
        <x:v>Approve control test evidence.</x:v>
      </x:c>
      <x:c r="F9" s="36" t="str">
        <x:v>Risk Owner / GRC</x:v>
      </x:c>
      <x:c r="G9" s="36" t="str">
        <x:v>Quarterly</x:v>
      </x:c>
      <x:c r="H9" s="36" t="str">
        <x:v>Control test result</x:v>
      </x:c>
    </x:row>
    <x:row r="10">
      <x:c r="A10" s="36" t="str">
        <x:v>ROLE-MIC-006</x:v>
      </x:c>
      <x:c r="B10" s="36" t="str">
        <x:v>Internal Audit</x:v>
      </x:c>
      <x:c r="C10" s="36" t="str">
        <x:v>Independent Assurance</x:v>
      </x:c>
      <x:c r="D10" s="36" t="str">
        <x:v>Independently assess control design and operating effectiveness.</x:v>
      </x:c>
      <x:c r="E10" s="36" t="str">
        <x:v>Issue audit findings and recommendations.</x:v>
      </x:c>
      <x:c r="F10" s="36" t="str">
        <x:v>Audit Committee</x:v>
      </x:c>
      <x:c r="G10" s="36" t="str">
        <x:v>Annual</x:v>
      </x:c>
      <x:c r="H10" s="36" t="str">
        <x:v>Independent audit report</x:v>
      </x:c>
    </x:row>
    <x:row r="11">
      <x:c r="A11" s="36" t="str">
        <x:v>ROLE-MIC-007</x:v>
      </x:c>
      <x:c r="B11" s="36" t="str">
        <x:v>SOC</x:v>
      </x:c>
      <x:c r="C11" s="36" t="str">
        <x:v>Operational</x:v>
      </x:c>
      <x:c r="D11" s="36" t="str">
        <x:v>Detect, triage, investigate, and escalate security events tied to risk scenarios.</x:v>
      </x:c>
      <x:c r="E11" s="36" t="str">
        <x:v>Escalate incidents and control failures.</x:v>
      </x:c>
      <x:c r="F11" s="36" t="str">
        <x:v>CISO / GRC</x:v>
      </x:c>
      <x:c r="G11" s="36" t="str">
        <x:v>Continuous</x:v>
      </x:c>
      <x:c r="H11" s="36" t="str">
        <x:v>Incident and detection evidence</x:v>
      </x:c>
    </x:row>
  </x:sheetData>
  <x:mergeCells>
    <x:mergeCell ref="A1:H1"/>
    <x:mergeCell ref="A2:H2"/>
  </x:mergeCells>
  <x:conditionalFormatting sqref="A5:H11">
    <x:cfRule type="expression" dxfId="17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212398e627549b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42" hidden="0" customWidth="1"/>
    <x:col min="5" max="5" width="24" hidden="0" customWidth="1"/>
    <x:col min="6" max="6" width="20" hidden="0" customWidth="1"/>
    <x:col min="7" max="7" width="22" hidden="0" customWidth="1"/>
    <x:col min="8" max="8" width="22" hidden="0" customWidth="1"/>
    <x:col min="9" max="9" width="20" hidden="0" customWidth="1"/>
    <x:col min="10" max="10" width="12" hidden="0" customWidth="1"/>
    <x:col min="11" max="11" width="48" hidden="0" customWidth="1"/>
  </x:cols>
  <x:sheetData>
    <x:row r="1" ht="34" customHeight="1">
      <x:c r="A1" s="5" t="str">
        <x:v>Microsoft Treatment Cost-Benefit Analysis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6" customHeight="1">
      <x:c r="A2" s="12" t="str">
        <x:v>Synthetic comparison of Mitigate, Transfer, Avoid, and Accept options for each risk.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 ht="34" customHeight="1">
      <x:c r="A4" s="28" t="str">
        <x:v>Option ID</x:v>
      </x:c>
      <x:c r="B4" s="28" t="str">
        <x:v>Risk ID</x:v>
      </x:c>
      <x:c r="C4" s="28" t="str">
        <x:v>Treatment Option</x:v>
      </x:c>
      <x:c r="D4" s="28" t="str">
        <x:v>Option Description</x:v>
      </x:c>
      <x:c r="E4" s="28" t="str">
        <x:v>Estimated One-Time Cost (USD)</x:v>
      </x:c>
      <x:c r="F4" s="28" t="str">
        <x:v>Estimated Annual Cost (USD)</x:v>
      </x:c>
      <x:c r="G4" s="28" t="str">
        <x:v>Expected Risk Score Reduction</x:v>
      </x:c>
      <x:c r="H4" s="28" t="str">
        <x:v>Estimated Implementation Time (Days)</x:v>
      </x:c>
      <x:c r="I4" s="28" t="str">
        <x:v>Operational Complexity</x:v>
      </x:c>
      <x:c r="J4" s="28" t="str">
        <x:v>Selected Option</x:v>
      </x:c>
      <x:c r="K4" s="28" t="str">
        <x:v>Decision Rationale</x:v>
      </x:c>
    </x:row>
    <x:row r="5">
      <x:c r="A5" s="36" t="str">
        <x:v>OPT-MIC-001-1</x:v>
      </x:c>
      <x:c r="B5" s="36" t="str">
        <x:v>RISK-MST-001</x:v>
      </x:c>
      <x:c r="C5" s="36" t="str">
        <x:v>Mitigate</x:v>
      </x:c>
      <x:c r="D5" s="36" t="str">
        <x:v>Mitigate option for conditional access exclusion misuse.</x:v>
      </x:c>
      <x:c r="E5" s="42" t="n">
        <x:v>39000</x:v>
      </x:c>
      <x:c r="F5" s="42" t="n">
        <x:v>15500</x:v>
      </x:c>
      <x:c r="G5" s="36" t="n">
        <x:v>7</x:v>
      </x:c>
      <x:c r="H5" s="36" t="n">
        <x:v>60</x:v>
      </x:c>
      <x:c r="I5" s="36" t="str">
        <x:v>Medium</x:v>
      </x:c>
      <x:c r="J5" s="36" t="str">
        <x:v>Yes</x:v>
      </x:c>
      <x:c r="K5" s="36" t="str">
        <x:v>Selected based on synthetic cost, feasibility, and residual risk.</x:v>
      </x:c>
    </x:row>
    <x:row r="6">
      <x:c r="A6" s="36" t="str">
        <x:v>OPT-MIC-001-2</x:v>
      </x:c>
      <x:c r="B6" s="36" t="str">
        <x:v>RISK-MST-001</x:v>
      </x:c>
      <x:c r="C6" s="36" t="str">
        <x:v>Transfer</x:v>
      </x:c>
      <x:c r="D6" s="36" t="str">
        <x:v>Transfer option for conditional access exclusion misuse.</x:v>
      </x:c>
      <x:c r="E6" s="42" t="n">
        <x:v>19500</x:v>
      </x:c>
      <x:c r="F6" s="42" t="n">
        <x:v>21700</x:v>
      </x:c>
      <x:c r="G6" s="36" t="n">
        <x:v>4</x:v>
      </x:c>
      <x:c r="H6" s="36" t="n">
        <x:v>30</x:v>
      </x:c>
      <x:c r="I6" s="36" t="str">
        <x:v>Low</x:v>
      </x:c>
      <x:c r="J6" s="36" t="str">
        <x:v>No</x:v>
      </x:c>
      <x:c r="K6" s="36" t="str">
        <x:v>Alternative retained for comparison.</x:v>
      </x:c>
    </x:row>
    <x:row r="7">
      <x:c r="A7" s="36" t="str">
        <x:v>OPT-MIC-001-3</x:v>
      </x:c>
      <x:c r="B7" s="36" t="str">
        <x:v>RISK-MST-001</x:v>
      </x:c>
      <x:c r="C7" s="36" t="str">
        <x:v>Avoid</x:v>
      </x:c>
      <x:c r="D7" s="36" t="str">
        <x:v>Avoid option for conditional access exclusion misuse.</x:v>
      </x:c>
      <x:c r="E7" s="42" t="n">
        <x:v>85800</x:v>
      </x:c>
      <x:c r="F7" s="42" t="n">
        <x:v>10850</x:v>
      </x:c>
      <x:c r="G7" s="36" t="n">
        <x:v>10</x:v>
      </x:c>
      <x:c r="H7" s="36" t="n">
        <x:v>120</x:v>
      </x:c>
      <x:c r="I7" s="36" t="str">
        <x:v>High</x:v>
      </x:c>
      <x:c r="J7" s="36" t="str">
        <x:v>No</x:v>
      </x:c>
      <x:c r="K7" s="36" t="str">
        <x:v>Alternative retained for comparison.</x:v>
      </x:c>
    </x:row>
    <x:row r="8">
      <x:c r="A8" s="36" t="str">
        <x:v>OPT-MIC-001-4</x:v>
      </x:c>
      <x:c r="B8" s="36" t="str">
        <x:v>RISK-MST-001</x:v>
      </x:c>
      <x:c r="C8" s="36" t="str">
        <x:v>Accept</x:v>
      </x:c>
      <x:c r="D8" s="36" t="str">
        <x:v>Accept option for conditional access exclusion misuse.</x:v>
      </x:c>
      <x:c r="E8" s="42" t="n">
        <x:v>1950</x:v>
      </x:c>
      <x:c r="F8" s="42" t="n">
        <x:v>1550</x:v>
      </x:c>
      <x:c r="G8" s="36" t="n">
        <x:v>0</x:v>
      </x:c>
      <x:c r="H8" s="36" t="n">
        <x:v>7</x:v>
      </x:c>
      <x:c r="I8" s="36" t="str">
        <x:v>Low</x:v>
      </x:c>
      <x:c r="J8" s="36" t="str">
        <x:v>No</x:v>
      </x:c>
      <x:c r="K8" s="36" t="str">
        <x:v>Alternative retained for comparison.</x:v>
      </x:c>
    </x:row>
    <x:row r="9">
      <x:c r="A9" s="36" t="str">
        <x:v>OPT-MIC-002-1</x:v>
      </x:c>
      <x:c r="B9" s="36" t="str">
        <x:v>RISK-MST-002</x:v>
      </x:c>
      <x:c r="C9" s="36" t="str">
        <x:v>Mitigate</x:v>
      </x:c>
      <x:c r="D9" s="36" t="str">
        <x:v>Mitigate option for oauth application consent abuse.</x:v>
      </x:c>
      <x:c r="E9" s="42" t="n">
        <x:v>48000</x:v>
      </x:c>
      <x:c r="F9" s="42" t="n">
        <x:v>19000</x:v>
      </x:c>
      <x:c r="G9" s="36" t="n">
        <x:v>7</x:v>
      </x:c>
      <x:c r="H9" s="36" t="n">
        <x:v>60</x:v>
      </x:c>
      <x:c r="I9" s="36" t="str">
        <x:v>Medium</x:v>
      </x:c>
      <x:c r="J9" s="36" t="str">
        <x:v>Yes</x:v>
      </x:c>
      <x:c r="K9" s="36" t="str">
        <x:v>Selected based on synthetic cost, feasibility, and residual risk.</x:v>
      </x:c>
    </x:row>
    <x:row r="10">
      <x:c r="A10" s="36" t="str">
        <x:v>OPT-MIC-002-2</x:v>
      </x:c>
      <x:c r="B10" s="36" t="str">
        <x:v>RISK-MST-002</x:v>
      </x:c>
      <x:c r="C10" s="36" t="str">
        <x:v>Transfer</x:v>
      </x:c>
      <x:c r="D10" s="36" t="str">
        <x:v>Transfer option for oauth application consent abuse.</x:v>
      </x:c>
      <x:c r="E10" s="42" t="n">
        <x:v>24000</x:v>
      </x:c>
      <x:c r="F10" s="42" t="n">
        <x:v>26600</x:v>
      </x:c>
      <x:c r="G10" s="36" t="n">
        <x:v>4</x:v>
      </x:c>
      <x:c r="H10" s="36" t="n">
        <x:v>30</x:v>
      </x:c>
      <x:c r="I10" s="36" t="str">
        <x:v>Low</x:v>
      </x:c>
      <x:c r="J10" s="36" t="str">
        <x:v>No</x:v>
      </x:c>
      <x:c r="K10" s="36" t="str">
        <x:v>Alternative retained for comparison.</x:v>
      </x:c>
    </x:row>
    <x:row r="11">
      <x:c r="A11" s="36" t="str">
        <x:v>OPT-MIC-002-3</x:v>
      </x:c>
      <x:c r="B11" s="36" t="str">
        <x:v>RISK-MST-002</x:v>
      </x:c>
      <x:c r="C11" s="36" t="str">
        <x:v>Avoid</x:v>
      </x:c>
      <x:c r="D11" s="36" t="str">
        <x:v>Avoid option for oauth application consent abuse.</x:v>
      </x:c>
      <x:c r="E11" s="42" t="n">
        <x:v>105600</x:v>
      </x:c>
      <x:c r="F11" s="42" t="n">
        <x:v>13300</x:v>
      </x:c>
      <x:c r="G11" s="36" t="n">
        <x:v>10</x:v>
      </x:c>
      <x:c r="H11" s="36" t="n">
        <x:v>120</x:v>
      </x:c>
      <x:c r="I11" s="36" t="str">
        <x:v>High</x:v>
      </x:c>
      <x:c r="J11" s="36" t="str">
        <x:v>No</x:v>
      </x:c>
      <x:c r="K11" s="36" t="str">
        <x:v>Alternative retained for comparison.</x:v>
      </x:c>
    </x:row>
    <x:row r="12">
      <x:c r="A12" s="36" t="str">
        <x:v>OPT-MIC-002-4</x:v>
      </x:c>
      <x:c r="B12" s="36" t="str">
        <x:v>RISK-MST-002</x:v>
      </x:c>
      <x:c r="C12" s="36" t="str">
        <x:v>Accept</x:v>
      </x:c>
      <x:c r="D12" s="36" t="str">
        <x:v>Accept option for oauth application consent abuse.</x:v>
      </x:c>
      <x:c r="E12" s="42" t="n">
        <x:v>2400</x:v>
      </x:c>
      <x:c r="F12" s="42" t="n">
        <x:v>1900</x:v>
      </x:c>
      <x:c r="G12" s="36" t="n">
        <x:v>0</x:v>
      </x:c>
      <x:c r="H12" s="36" t="n">
        <x:v>7</x:v>
      </x:c>
      <x:c r="I12" s="36" t="str">
        <x:v>Low</x:v>
      </x:c>
      <x:c r="J12" s="36" t="str">
        <x:v>No</x:v>
      </x:c>
      <x:c r="K12" s="36" t="str">
        <x:v>Alternative retained for comparison.</x:v>
      </x:c>
    </x:row>
    <x:row r="13">
      <x:c r="A13" s="36" t="str">
        <x:v>OPT-MIC-003-1</x:v>
      </x:c>
      <x:c r="B13" s="36" t="str">
        <x:v>RISK-MST-003</x:v>
      </x:c>
      <x:c r="C13" s="36" t="str">
        <x:v>Mitigate</x:v>
      </x:c>
      <x:c r="D13" s="36" t="str">
        <x:v>Mitigate option for key vault secret exposure.</x:v>
      </x:c>
      <x:c r="E13" s="42" t="n">
        <x:v>57000</x:v>
      </x:c>
      <x:c r="F13" s="42" t="n">
        <x:v>22500</x:v>
      </x:c>
      <x:c r="G13" s="36" t="n">
        <x:v>7</x:v>
      </x:c>
      <x:c r="H13" s="36" t="n">
        <x:v>60</x:v>
      </x:c>
      <x:c r="I13" s="36" t="str">
        <x:v>Medium</x:v>
      </x:c>
      <x:c r="J13" s="36" t="str">
        <x:v>Yes</x:v>
      </x:c>
      <x:c r="K13" s="36" t="str">
        <x:v>Selected based on synthetic cost, feasibility, and residual risk.</x:v>
      </x:c>
    </x:row>
    <x:row r="14">
      <x:c r="A14" s="36" t="str">
        <x:v>OPT-MIC-003-2</x:v>
      </x:c>
      <x:c r="B14" s="36" t="str">
        <x:v>RISK-MST-003</x:v>
      </x:c>
      <x:c r="C14" s="36" t="str">
        <x:v>Transfer</x:v>
      </x:c>
      <x:c r="D14" s="36" t="str">
        <x:v>Transfer option for key vault secret exposure.</x:v>
      </x:c>
      <x:c r="E14" s="42" t="n">
        <x:v>28500</x:v>
      </x:c>
      <x:c r="F14" s="42" t="n">
        <x:v>31500</x:v>
      </x:c>
      <x:c r="G14" s="36" t="n">
        <x:v>4</x:v>
      </x:c>
      <x:c r="H14" s="36" t="n">
        <x:v>30</x:v>
      </x:c>
      <x:c r="I14" s="36" t="str">
        <x:v>Low</x:v>
      </x:c>
      <x:c r="J14" s="36" t="str">
        <x:v>No</x:v>
      </x:c>
      <x:c r="K14" s="36" t="str">
        <x:v>Alternative retained for comparison.</x:v>
      </x:c>
    </x:row>
    <x:row r="15">
      <x:c r="A15" s="36" t="str">
        <x:v>OPT-MIC-003-3</x:v>
      </x:c>
      <x:c r="B15" s="36" t="str">
        <x:v>RISK-MST-003</x:v>
      </x:c>
      <x:c r="C15" s="36" t="str">
        <x:v>Avoid</x:v>
      </x:c>
      <x:c r="D15" s="36" t="str">
        <x:v>Avoid option for key vault secret exposure.</x:v>
      </x:c>
      <x:c r="E15" s="42" t="n">
        <x:v>125400</x:v>
      </x:c>
      <x:c r="F15" s="42" t="n">
        <x:v>15750</x:v>
      </x:c>
      <x:c r="G15" s="36" t="n">
        <x:v>10</x:v>
      </x:c>
      <x:c r="H15" s="36" t="n">
        <x:v>120</x:v>
      </x:c>
      <x:c r="I15" s="36" t="str">
        <x:v>High</x:v>
      </x:c>
      <x:c r="J15" s="36" t="str">
        <x:v>No</x:v>
      </x:c>
      <x:c r="K15" s="36" t="str">
        <x:v>Alternative retained for comparison.</x:v>
      </x:c>
    </x:row>
    <x:row r="16">
      <x:c r="A16" s="36" t="str">
        <x:v>OPT-MIC-003-4</x:v>
      </x:c>
      <x:c r="B16" s="36" t="str">
        <x:v>RISK-MST-003</x:v>
      </x:c>
      <x:c r="C16" s="36" t="str">
        <x:v>Accept</x:v>
      </x:c>
      <x:c r="D16" s="36" t="str">
        <x:v>Accept option for key vault secret exposure.</x:v>
      </x:c>
      <x:c r="E16" s="42" t="n">
        <x:v>2850</x:v>
      </x:c>
      <x:c r="F16" s="42" t="n">
        <x:v>2250</x:v>
      </x:c>
      <x:c r="G16" s="36" t="n">
        <x:v>0</x:v>
      </x:c>
      <x:c r="H16" s="36" t="n">
        <x:v>7</x:v>
      </x:c>
      <x:c r="I16" s="36" t="str">
        <x:v>Low</x:v>
      </x:c>
      <x:c r="J16" s="36" t="str">
        <x:v>No</x:v>
      </x:c>
      <x:c r="K16" s="36" t="str">
        <x:v>Alternative retained for comparison.</x:v>
      </x:c>
    </x:row>
    <x:row r="17">
      <x:c r="A17" s="36" t="str">
        <x:v>OPT-MIC-004-1</x:v>
      </x:c>
      <x:c r="B17" s="36" t="str">
        <x:v>RISK-MST-004</x:v>
      </x:c>
      <x:c r="C17" s="36" t="str">
        <x:v>Mitigate</x:v>
      </x:c>
      <x:c r="D17" s="36" t="str">
        <x:v>Mitigate option for sentinel data connector failure.</x:v>
      </x:c>
      <x:c r="E17" s="42" t="n">
        <x:v>66000</x:v>
      </x:c>
      <x:c r="F17" s="42" t="n">
        <x:v>26000</x:v>
      </x:c>
      <x:c r="G17" s="36" t="n">
        <x:v>7</x:v>
      </x:c>
      <x:c r="H17" s="36" t="n">
        <x:v>60</x:v>
      </x:c>
      <x:c r="I17" s="36" t="str">
        <x:v>Medium</x:v>
      </x:c>
      <x:c r="J17" s="36" t="str">
        <x:v>Yes</x:v>
      </x:c>
      <x:c r="K17" s="36" t="str">
        <x:v>Selected based on synthetic cost, feasibility, and residual risk.</x:v>
      </x:c>
    </x:row>
    <x:row r="18">
      <x:c r="A18" s="36" t="str">
        <x:v>OPT-MIC-004-2</x:v>
      </x:c>
      <x:c r="B18" s="36" t="str">
        <x:v>RISK-MST-004</x:v>
      </x:c>
      <x:c r="C18" s="36" t="str">
        <x:v>Transfer</x:v>
      </x:c>
      <x:c r="D18" s="36" t="str">
        <x:v>Transfer option for sentinel data connector failure.</x:v>
      </x:c>
      <x:c r="E18" s="42" t="n">
        <x:v>33000</x:v>
      </x:c>
      <x:c r="F18" s="42" t="n">
        <x:v>36400</x:v>
      </x:c>
      <x:c r="G18" s="36" t="n">
        <x:v>4</x:v>
      </x:c>
      <x:c r="H18" s="36" t="n">
        <x:v>30</x:v>
      </x:c>
      <x:c r="I18" s="36" t="str">
        <x:v>Low</x:v>
      </x:c>
      <x:c r="J18" s="36" t="str">
        <x:v>No</x:v>
      </x:c>
      <x:c r="K18" s="36" t="str">
        <x:v>Alternative retained for comparison.</x:v>
      </x:c>
    </x:row>
    <x:row r="19">
      <x:c r="A19" s="36" t="str">
        <x:v>OPT-MIC-004-3</x:v>
      </x:c>
      <x:c r="B19" s="36" t="str">
        <x:v>RISK-MST-004</x:v>
      </x:c>
      <x:c r="C19" s="36" t="str">
        <x:v>Avoid</x:v>
      </x:c>
      <x:c r="D19" s="36" t="str">
        <x:v>Avoid option for sentinel data connector failure.</x:v>
      </x:c>
      <x:c r="E19" s="42" t="n">
        <x:v>145200</x:v>
      </x:c>
      <x:c r="F19" s="42" t="n">
        <x:v>18200</x:v>
      </x:c>
      <x:c r="G19" s="36" t="n">
        <x:v>10</x:v>
      </x:c>
      <x:c r="H19" s="36" t="n">
        <x:v>120</x:v>
      </x:c>
      <x:c r="I19" s="36" t="str">
        <x:v>High</x:v>
      </x:c>
      <x:c r="J19" s="36" t="str">
        <x:v>No</x:v>
      </x:c>
      <x:c r="K19" s="36" t="str">
        <x:v>Alternative retained for comparison.</x:v>
      </x:c>
    </x:row>
    <x:row r="20">
      <x:c r="A20" s="36" t="str">
        <x:v>OPT-MIC-004-4</x:v>
      </x:c>
      <x:c r="B20" s="36" t="str">
        <x:v>RISK-MST-004</x:v>
      </x:c>
      <x:c r="C20" s="36" t="str">
        <x:v>Accept</x:v>
      </x:c>
      <x:c r="D20" s="36" t="str">
        <x:v>Accept option for sentinel data connector failure.</x:v>
      </x:c>
      <x:c r="E20" s="42" t="n">
        <x:v>3300</x:v>
      </x:c>
      <x:c r="F20" s="42" t="n">
        <x:v>2600</x:v>
      </x:c>
      <x:c r="G20" s="36" t="n">
        <x:v>0</x:v>
      </x:c>
      <x:c r="H20" s="36" t="n">
        <x:v>7</x:v>
      </x:c>
      <x:c r="I20" s="36" t="str">
        <x:v>Low</x:v>
      </x:c>
      <x:c r="J20" s="36" t="str">
        <x:v>No</x:v>
      </x:c>
      <x:c r="K20" s="36" t="str">
        <x:v>Alternative retained for comparison.</x:v>
      </x:c>
    </x:row>
    <x:row r="21">
      <x:c r="A21" s="36" t="str">
        <x:v>OPT-MIC-005-1</x:v>
      </x:c>
      <x:c r="B21" s="36" t="str">
        <x:v>RISK-MST-005</x:v>
      </x:c>
      <x:c r="C21" s="36" t="str">
        <x:v>Mitigate</x:v>
      </x:c>
      <x:c r="D21" s="36" t="str">
        <x:v>Mitigate option for aks workload identity misbinding.</x:v>
      </x:c>
      <x:c r="E21" s="42" t="n">
        <x:v>75000</x:v>
      </x:c>
      <x:c r="F21" s="42" t="n">
        <x:v>29500</x:v>
      </x:c>
      <x:c r="G21" s="36" t="n">
        <x:v>7</x:v>
      </x:c>
      <x:c r="H21" s="36" t="n">
        <x:v>60</x:v>
      </x:c>
      <x:c r="I21" s="36" t="str">
        <x:v>Medium</x:v>
      </x:c>
      <x:c r="J21" s="36" t="str">
        <x:v>Yes</x:v>
      </x:c>
      <x:c r="K21" s="36" t="str">
        <x:v>Selected based on synthetic cost, feasibility, and residual risk.</x:v>
      </x:c>
    </x:row>
    <x:row r="22">
      <x:c r="A22" s="36" t="str">
        <x:v>OPT-MIC-005-2</x:v>
      </x:c>
      <x:c r="B22" s="36" t="str">
        <x:v>RISK-MST-005</x:v>
      </x:c>
      <x:c r="C22" s="36" t="str">
        <x:v>Transfer</x:v>
      </x:c>
      <x:c r="D22" s="36" t="str">
        <x:v>Transfer option for aks workload identity misbinding.</x:v>
      </x:c>
      <x:c r="E22" s="42" t="n">
        <x:v>37500</x:v>
      </x:c>
      <x:c r="F22" s="42" t="n">
        <x:v>41300</x:v>
      </x:c>
      <x:c r="G22" s="36" t="n">
        <x:v>4</x:v>
      </x:c>
      <x:c r="H22" s="36" t="n">
        <x:v>30</x:v>
      </x:c>
      <x:c r="I22" s="36" t="str">
        <x:v>Low</x:v>
      </x:c>
      <x:c r="J22" s="36" t="str">
        <x:v>No</x:v>
      </x:c>
      <x:c r="K22" s="36" t="str">
        <x:v>Alternative retained for comparison.</x:v>
      </x:c>
    </x:row>
    <x:row r="23">
      <x:c r="A23" s="36" t="str">
        <x:v>OPT-MIC-005-3</x:v>
      </x:c>
      <x:c r="B23" s="36" t="str">
        <x:v>RISK-MST-005</x:v>
      </x:c>
      <x:c r="C23" s="36" t="str">
        <x:v>Avoid</x:v>
      </x:c>
      <x:c r="D23" s="36" t="str">
        <x:v>Avoid option for aks workload identity misbinding.</x:v>
      </x:c>
      <x:c r="E23" s="42" t="n">
        <x:v>165000</x:v>
      </x:c>
      <x:c r="F23" s="42" t="n">
        <x:v>20650</x:v>
      </x:c>
      <x:c r="G23" s="36" t="n">
        <x:v>10</x:v>
      </x:c>
      <x:c r="H23" s="36" t="n">
        <x:v>120</x:v>
      </x:c>
      <x:c r="I23" s="36" t="str">
        <x:v>High</x:v>
      </x:c>
      <x:c r="J23" s="36" t="str">
        <x:v>No</x:v>
      </x:c>
      <x:c r="K23" s="36" t="str">
        <x:v>Alternative retained for comparison.</x:v>
      </x:c>
    </x:row>
    <x:row r="24">
      <x:c r="A24" s="36" t="str">
        <x:v>OPT-MIC-005-4</x:v>
      </x:c>
      <x:c r="B24" s="36" t="str">
        <x:v>RISK-MST-005</x:v>
      </x:c>
      <x:c r="C24" s="36" t="str">
        <x:v>Accept</x:v>
      </x:c>
      <x:c r="D24" s="36" t="str">
        <x:v>Accept option for aks workload identity misbinding.</x:v>
      </x:c>
      <x:c r="E24" s="42" t="n">
        <x:v>3750</x:v>
      </x:c>
      <x:c r="F24" s="42" t="n">
        <x:v>2950</x:v>
      </x:c>
      <x:c r="G24" s="36" t="n">
        <x:v>0</x:v>
      </x:c>
      <x:c r="H24" s="36" t="n">
        <x:v>7</x:v>
      </x:c>
      <x:c r="I24" s="36" t="str">
        <x:v>Low</x:v>
      </x:c>
      <x:c r="J24" s="36" t="str">
        <x:v>No</x:v>
      </x:c>
      <x:c r="K24" s="36" t="str">
        <x:v>Alternative retained for comparison.</x:v>
      </x:c>
    </x:row>
    <x:row r="25">
      <x:c r="A25" s="36" t="str">
        <x:v>OPT-MIC-006-1</x:v>
      </x:c>
      <x:c r="B25" s="36" t="str">
        <x:v>RISK-MST-006</x:v>
      </x:c>
      <x:c r="C25" s="36" t="str">
        <x:v>Mitigate</x:v>
      </x:c>
      <x:c r="D25" s="36" t="str">
        <x:v>Mitigate option for azure devops pipeline token leakage.</x:v>
      </x:c>
      <x:c r="E25" s="42" t="n">
        <x:v>84000</x:v>
      </x:c>
      <x:c r="F25" s="42" t="n">
        <x:v>33000</x:v>
      </x:c>
      <x:c r="G25" s="36" t="n">
        <x:v>7</x:v>
      </x:c>
      <x:c r="H25" s="36" t="n">
        <x:v>60</x:v>
      </x:c>
      <x:c r="I25" s="36" t="str">
        <x:v>Medium</x:v>
      </x:c>
      <x:c r="J25" s="36" t="str">
        <x:v>Yes</x:v>
      </x:c>
      <x:c r="K25" s="36" t="str">
        <x:v>Selected based on synthetic cost, feasibility, and residual risk.</x:v>
      </x:c>
    </x:row>
    <x:row r="26">
      <x:c r="A26" s="36" t="str">
        <x:v>OPT-MIC-006-2</x:v>
      </x:c>
      <x:c r="B26" s="36" t="str">
        <x:v>RISK-MST-006</x:v>
      </x:c>
      <x:c r="C26" s="36" t="str">
        <x:v>Transfer</x:v>
      </x:c>
      <x:c r="D26" s="36" t="str">
        <x:v>Transfer option for azure devops pipeline token leakage.</x:v>
      </x:c>
      <x:c r="E26" s="42" t="n">
        <x:v>42000</x:v>
      </x:c>
      <x:c r="F26" s="42" t="n">
        <x:v>46200</x:v>
      </x:c>
      <x:c r="G26" s="36" t="n">
        <x:v>4</x:v>
      </x:c>
      <x:c r="H26" s="36" t="n">
        <x:v>30</x:v>
      </x:c>
      <x:c r="I26" s="36" t="str">
        <x:v>Low</x:v>
      </x:c>
      <x:c r="J26" s="36" t="str">
        <x:v>No</x:v>
      </x:c>
      <x:c r="K26" s="36" t="str">
        <x:v>Alternative retained for comparison.</x:v>
      </x:c>
    </x:row>
    <x:row r="27">
      <x:c r="A27" s="36" t="str">
        <x:v>OPT-MIC-006-3</x:v>
      </x:c>
      <x:c r="B27" s="36" t="str">
        <x:v>RISK-MST-006</x:v>
      </x:c>
      <x:c r="C27" s="36" t="str">
        <x:v>Avoid</x:v>
      </x:c>
      <x:c r="D27" s="36" t="str">
        <x:v>Avoid option for azure devops pipeline token leakage.</x:v>
      </x:c>
      <x:c r="E27" s="42" t="n">
        <x:v>184800</x:v>
      </x:c>
      <x:c r="F27" s="42" t="n">
        <x:v>23100</x:v>
      </x:c>
      <x:c r="G27" s="36" t="n">
        <x:v>10</x:v>
      </x:c>
      <x:c r="H27" s="36" t="n">
        <x:v>120</x:v>
      </x:c>
      <x:c r="I27" s="36" t="str">
        <x:v>High</x:v>
      </x:c>
      <x:c r="J27" s="36" t="str">
        <x:v>No</x:v>
      </x:c>
      <x:c r="K27" s="36" t="str">
        <x:v>Alternative retained for comparison.</x:v>
      </x:c>
    </x:row>
    <x:row r="28">
      <x:c r="A28" s="36" t="str">
        <x:v>OPT-MIC-006-4</x:v>
      </x:c>
      <x:c r="B28" s="36" t="str">
        <x:v>RISK-MST-006</x:v>
      </x:c>
      <x:c r="C28" s="36" t="str">
        <x:v>Accept</x:v>
      </x:c>
      <x:c r="D28" s="36" t="str">
        <x:v>Accept option for azure devops pipeline token leakage.</x:v>
      </x:c>
      <x:c r="E28" s="42" t="n">
        <x:v>4200</x:v>
      </x:c>
      <x:c r="F28" s="42" t="n">
        <x:v>3300</x:v>
      </x:c>
      <x:c r="G28" s="36" t="n">
        <x:v>0</x:v>
      </x:c>
      <x:c r="H28" s="36" t="n">
        <x:v>7</x:v>
      </x:c>
      <x:c r="I28" s="36" t="str">
        <x:v>Low</x:v>
      </x:c>
      <x:c r="J28" s="36" t="str">
        <x:v>No</x:v>
      </x:c>
      <x:c r="K28" s="36" t="str">
        <x:v>Alternative retained for comparison.</x:v>
      </x:c>
    </x:row>
    <x:row r="29">
      <x:c r="A29" s="36" t="str">
        <x:v>OPT-MIC-007-1</x:v>
      </x:c>
      <x:c r="B29" s="36" t="str">
        <x:v>RISK-MST-007</x:v>
      </x:c>
      <x:c r="C29" s="36" t="str">
        <x:v>Mitigate</x:v>
      </x:c>
      <x:c r="D29" s="36" t="str">
        <x:v>Mitigate option for m365 business email compromise.</x:v>
      </x:c>
      <x:c r="E29" s="42" t="n">
        <x:v>93000</x:v>
      </x:c>
      <x:c r="F29" s="42" t="n">
        <x:v>36500</x:v>
      </x:c>
      <x:c r="G29" s="36" t="n">
        <x:v>7</x:v>
      </x:c>
      <x:c r="H29" s="36" t="n">
        <x:v>60</x:v>
      </x:c>
      <x:c r="I29" s="36" t="str">
        <x:v>Medium</x:v>
      </x:c>
      <x:c r="J29" s="36" t="str">
        <x:v>Yes</x:v>
      </x:c>
      <x:c r="K29" s="36" t="str">
        <x:v>Selected based on synthetic cost, feasibility, and residual risk.</x:v>
      </x:c>
    </x:row>
    <x:row r="30">
      <x:c r="A30" s="36" t="str">
        <x:v>OPT-MIC-007-2</x:v>
      </x:c>
      <x:c r="B30" s="36" t="str">
        <x:v>RISK-MST-007</x:v>
      </x:c>
      <x:c r="C30" s="36" t="str">
        <x:v>Transfer</x:v>
      </x:c>
      <x:c r="D30" s="36" t="str">
        <x:v>Transfer option for m365 business email compromise.</x:v>
      </x:c>
      <x:c r="E30" s="42" t="n">
        <x:v>46500</x:v>
      </x:c>
      <x:c r="F30" s="42" t="n">
        <x:v>51100</x:v>
      </x:c>
      <x:c r="G30" s="36" t="n">
        <x:v>4</x:v>
      </x:c>
      <x:c r="H30" s="36" t="n">
        <x:v>30</x:v>
      </x:c>
      <x:c r="I30" s="36" t="str">
        <x:v>Low</x:v>
      </x:c>
      <x:c r="J30" s="36" t="str">
        <x:v>No</x:v>
      </x:c>
      <x:c r="K30" s="36" t="str">
        <x:v>Alternative retained for comparison.</x:v>
      </x:c>
    </x:row>
    <x:row r="31">
      <x:c r="A31" s="36" t="str">
        <x:v>OPT-MIC-007-3</x:v>
      </x:c>
      <x:c r="B31" s="36" t="str">
        <x:v>RISK-MST-007</x:v>
      </x:c>
      <x:c r="C31" s="36" t="str">
        <x:v>Avoid</x:v>
      </x:c>
      <x:c r="D31" s="36" t="str">
        <x:v>Avoid option for m365 business email compromise.</x:v>
      </x:c>
      <x:c r="E31" s="42" t="n">
        <x:v>204600</x:v>
      </x:c>
      <x:c r="F31" s="42" t="n">
        <x:v>25550</x:v>
      </x:c>
      <x:c r="G31" s="36" t="n">
        <x:v>10</x:v>
      </x:c>
      <x:c r="H31" s="36" t="n">
        <x:v>120</x:v>
      </x:c>
      <x:c r="I31" s="36" t="str">
        <x:v>High</x:v>
      </x:c>
      <x:c r="J31" s="36" t="str">
        <x:v>No</x:v>
      </x:c>
      <x:c r="K31" s="36" t="str">
        <x:v>Alternative retained for comparison.</x:v>
      </x:c>
    </x:row>
    <x:row r="32">
      <x:c r="A32" s="36" t="str">
        <x:v>OPT-MIC-007-4</x:v>
      </x:c>
      <x:c r="B32" s="36" t="str">
        <x:v>RISK-MST-007</x:v>
      </x:c>
      <x:c r="C32" s="36" t="str">
        <x:v>Accept</x:v>
      </x:c>
      <x:c r="D32" s="36" t="str">
        <x:v>Accept option for m365 business email compromise.</x:v>
      </x:c>
      <x:c r="E32" s="42" t="n">
        <x:v>4650</x:v>
      </x:c>
      <x:c r="F32" s="42" t="n">
        <x:v>3650</x:v>
      </x:c>
      <x:c r="G32" s="36" t="n">
        <x:v>0</x:v>
      </x:c>
      <x:c r="H32" s="36" t="n">
        <x:v>7</x:v>
      </x:c>
      <x:c r="I32" s="36" t="str">
        <x:v>Low</x:v>
      </x:c>
      <x:c r="J32" s="36" t="str">
        <x:v>No</x:v>
      </x:c>
      <x:c r="K32" s="36" t="str">
        <x:v>Alternative retained for comparison.</x:v>
      </x:c>
    </x:row>
    <x:row r="33">
      <x:c r="A33" s="36" t="str">
        <x:v>OPT-MIC-008-1</x:v>
      </x:c>
      <x:c r="B33" s="36" t="str">
        <x:v>RISK-MST-008</x:v>
      </x:c>
      <x:c r="C33" s="36" t="str">
        <x:v>Mitigate</x:v>
      </x:c>
      <x:c r="D33" s="36" t="str">
        <x:v>Mitigate option for intune compliance policy gap.</x:v>
      </x:c>
      <x:c r="E33" s="42" t="n">
        <x:v>102000</x:v>
      </x:c>
      <x:c r="F33" s="42" t="n">
        <x:v>40000</x:v>
      </x:c>
      <x:c r="G33" s="36" t="n">
        <x:v>7</x:v>
      </x:c>
      <x:c r="H33" s="36" t="n">
        <x:v>60</x:v>
      </x:c>
      <x:c r="I33" s="36" t="str">
        <x:v>Medium</x:v>
      </x:c>
      <x:c r="J33" s="36" t="str">
        <x:v>Yes</x:v>
      </x:c>
      <x:c r="K33" s="36" t="str">
        <x:v>Selected based on synthetic cost, feasibility, and residual risk.</x:v>
      </x:c>
    </x:row>
    <x:row r="34">
      <x:c r="A34" s="36" t="str">
        <x:v>OPT-MIC-008-2</x:v>
      </x:c>
      <x:c r="B34" s="36" t="str">
        <x:v>RISK-MST-008</x:v>
      </x:c>
      <x:c r="C34" s="36" t="str">
        <x:v>Transfer</x:v>
      </x:c>
      <x:c r="D34" s="36" t="str">
        <x:v>Transfer option for intune compliance policy gap.</x:v>
      </x:c>
      <x:c r="E34" s="42" t="n">
        <x:v>51000</x:v>
      </x:c>
      <x:c r="F34" s="42" t="n">
        <x:v>56000</x:v>
      </x:c>
      <x:c r="G34" s="36" t="n">
        <x:v>4</x:v>
      </x:c>
      <x:c r="H34" s="36" t="n">
        <x:v>30</x:v>
      </x:c>
      <x:c r="I34" s="36" t="str">
        <x:v>Low</x:v>
      </x:c>
      <x:c r="J34" s="36" t="str">
        <x:v>No</x:v>
      </x:c>
      <x:c r="K34" s="36" t="str">
        <x:v>Alternative retained for comparison.</x:v>
      </x:c>
    </x:row>
    <x:row r="35">
      <x:c r="A35" s="36" t="str">
        <x:v>OPT-MIC-008-3</x:v>
      </x:c>
      <x:c r="B35" s="36" t="str">
        <x:v>RISK-MST-008</x:v>
      </x:c>
      <x:c r="C35" s="36" t="str">
        <x:v>Avoid</x:v>
      </x:c>
      <x:c r="D35" s="36" t="str">
        <x:v>Avoid option for intune compliance policy gap.</x:v>
      </x:c>
      <x:c r="E35" s="42" t="n">
        <x:v>224400</x:v>
      </x:c>
      <x:c r="F35" s="42" t="n">
        <x:v>28000</x:v>
      </x:c>
      <x:c r="G35" s="36" t="n">
        <x:v>10</x:v>
      </x:c>
      <x:c r="H35" s="36" t="n">
        <x:v>120</x:v>
      </x:c>
      <x:c r="I35" s="36" t="str">
        <x:v>High</x:v>
      </x:c>
      <x:c r="J35" s="36" t="str">
        <x:v>No</x:v>
      </x:c>
      <x:c r="K35" s="36" t="str">
        <x:v>Alternative retained for comparison.</x:v>
      </x:c>
    </x:row>
    <x:row r="36">
      <x:c r="A36" s="36" t="str">
        <x:v>OPT-MIC-008-4</x:v>
      </x:c>
      <x:c r="B36" s="36" t="str">
        <x:v>RISK-MST-008</x:v>
      </x:c>
      <x:c r="C36" s="36" t="str">
        <x:v>Accept</x:v>
      </x:c>
      <x:c r="D36" s="36" t="str">
        <x:v>Accept option for intune compliance policy gap.</x:v>
      </x:c>
      <x:c r="E36" s="42" t="n">
        <x:v>5100</x:v>
      </x:c>
      <x:c r="F36" s="42" t="n">
        <x:v>4000</x:v>
      </x:c>
      <x:c r="G36" s="36" t="n">
        <x:v>0</x:v>
      </x:c>
      <x:c r="H36" s="36" t="n">
        <x:v>7</x:v>
      </x:c>
      <x:c r="I36" s="36" t="str">
        <x:v>Low</x:v>
      </x:c>
      <x:c r="J36" s="36" t="str">
        <x:v>No</x:v>
      </x:c>
      <x:c r="K36" s="36" t="str">
        <x:v>Alternative retained for comparison.</x:v>
      </x:c>
    </x:row>
    <x:row r="37">
      <x:c r="A37" s="36" t="str">
        <x:v>OPT-MIC-009-1</x:v>
      </x:c>
      <x:c r="B37" s="36" t="str">
        <x:v>RISK-MST-009</x:v>
      </x:c>
      <x:c r="C37" s="36" t="str">
        <x:v>Mitigate</x:v>
      </x:c>
      <x:c r="D37" s="36" t="str">
        <x:v>Mitigate option for power platform data exfiltration.</x:v>
      </x:c>
      <x:c r="E37" s="42" t="n">
        <x:v>111000</x:v>
      </x:c>
      <x:c r="F37" s="42" t="n">
        <x:v>43500</x:v>
      </x:c>
      <x:c r="G37" s="36" t="n">
        <x:v>7</x:v>
      </x:c>
      <x:c r="H37" s="36" t="n">
        <x:v>60</x:v>
      </x:c>
      <x:c r="I37" s="36" t="str">
        <x:v>Medium</x:v>
      </x:c>
      <x:c r="J37" s="36" t="str">
        <x:v>Yes</x:v>
      </x:c>
      <x:c r="K37" s="36" t="str">
        <x:v>Selected based on synthetic cost, feasibility, and residual risk.</x:v>
      </x:c>
    </x:row>
    <x:row r="38">
      <x:c r="A38" s="36" t="str">
        <x:v>OPT-MIC-009-2</x:v>
      </x:c>
      <x:c r="B38" s="36" t="str">
        <x:v>RISK-MST-009</x:v>
      </x:c>
      <x:c r="C38" s="36" t="str">
        <x:v>Transfer</x:v>
      </x:c>
      <x:c r="D38" s="36" t="str">
        <x:v>Transfer option for power platform data exfiltration.</x:v>
      </x:c>
      <x:c r="E38" s="42" t="n">
        <x:v>55500</x:v>
      </x:c>
      <x:c r="F38" s="42" t="n">
        <x:v>60900</x:v>
      </x:c>
      <x:c r="G38" s="36" t="n">
        <x:v>4</x:v>
      </x:c>
      <x:c r="H38" s="36" t="n">
        <x:v>30</x:v>
      </x:c>
      <x:c r="I38" s="36" t="str">
        <x:v>Low</x:v>
      </x:c>
      <x:c r="J38" s="36" t="str">
        <x:v>No</x:v>
      </x:c>
      <x:c r="K38" s="36" t="str">
        <x:v>Alternative retained for comparison.</x:v>
      </x:c>
    </x:row>
    <x:row r="39">
      <x:c r="A39" s="36" t="str">
        <x:v>OPT-MIC-009-3</x:v>
      </x:c>
      <x:c r="B39" s="36" t="str">
        <x:v>RISK-MST-009</x:v>
      </x:c>
      <x:c r="C39" s="36" t="str">
        <x:v>Avoid</x:v>
      </x:c>
      <x:c r="D39" s="36" t="str">
        <x:v>Avoid option for power platform data exfiltration.</x:v>
      </x:c>
      <x:c r="E39" s="42" t="n">
        <x:v>244200</x:v>
      </x:c>
      <x:c r="F39" s="42" t="n">
        <x:v>30450</x:v>
      </x:c>
      <x:c r="G39" s="36" t="n">
        <x:v>10</x:v>
      </x:c>
      <x:c r="H39" s="36" t="n">
        <x:v>120</x:v>
      </x:c>
      <x:c r="I39" s="36" t="str">
        <x:v>High</x:v>
      </x:c>
      <x:c r="J39" s="36" t="str">
        <x:v>No</x:v>
      </x:c>
      <x:c r="K39" s="36" t="str">
        <x:v>Alternative retained for comparison.</x:v>
      </x:c>
    </x:row>
    <x:row r="40">
      <x:c r="A40" s="36" t="str">
        <x:v>OPT-MIC-009-4</x:v>
      </x:c>
      <x:c r="B40" s="36" t="str">
        <x:v>RISK-MST-009</x:v>
      </x:c>
      <x:c r="C40" s="36" t="str">
        <x:v>Accept</x:v>
      </x:c>
      <x:c r="D40" s="36" t="str">
        <x:v>Accept option for power platform data exfiltration.</x:v>
      </x:c>
      <x:c r="E40" s="42" t="n">
        <x:v>5550</x:v>
      </x:c>
      <x:c r="F40" s="42" t="n">
        <x:v>4350</x:v>
      </x:c>
      <x:c r="G40" s="36" t="n">
        <x:v>0</x:v>
      </x:c>
      <x:c r="H40" s="36" t="n">
        <x:v>7</x:v>
      </x:c>
      <x:c r="I40" s="36" t="str">
        <x:v>Low</x:v>
      </x:c>
      <x:c r="J40" s="36" t="str">
        <x:v>No</x:v>
      </x:c>
      <x:c r="K40" s="36" t="str">
        <x:v>Alternative retained for comparison.</x:v>
      </x:c>
    </x:row>
    <x:row r="41">
      <x:c r="A41" s="36" t="str">
        <x:v>OPT-MIC-010-1</x:v>
      </x:c>
      <x:c r="B41" s="36" t="str">
        <x:v>RISK-MST-010</x:v>
      </x:c>
      <x:c r="C41" s="36" t="str">
        <x:v>Mitigate</x:v>
      </x:c>
      <x:c r="D41" s="36" t="str">
        <x:v>Mitigate option for backup vault immutability disabled.</x:v>
      </x:c>
      <x:c r="E41" s="42" t="n">
        <x:v>120000</x:v>
      </x:c>
      <x:c r="F41" s="42" t="n">
        <x:v>47000</x:v>
      </x:c>
      <x:c r="G41" s="36" t="n">
        <x:v>7</x:v>
      </x:c>
      <x:c r="H41" s="36" t="n">
        <x:v>60</x:v>
      </x:c>
      <x:c r="I41" s="36" t="str">
        <x:v>Medium</x:v>
      </x:c>
      <x:c r="J41" s="36" t="str">
        <x:v>Yes</x:v>
      </x:c>
      <x:c r="K41" s="36" t="str">
        <x:v>Selected based on synthetic cost, feasibility, and residual risk.</x:v>
      </x:c>
    </x:row>
    <x:row r="42">
      <x:c r="A42" s="36" t="str">
        <x:v>OPT-MIC-010-2</x:v>
      </x:c>
      <x:c r="B42" s="36" t="str">
        <x:v>RISK-MST-010</x:v>
      </x:c>
      <x:c r="C42" s="36" t="str">
        <x:v>Transfer</x:v>
      </x:c>
      <x:c r="D42" s="36" t="str">
        <x:v>Transfer option for backup vault immutability disabled.</x:v>
      </x:c>
      <x:c r="E42" s="42" t="n">
        <x:v>60000</x:v>
      </x:c>
      <x:c r="F42" s="42" t="n">
        <x:v>65800</x:v>
      </x:c>
      <x:c r="G42" s="36" t="n">
        <x:v>4</x:v>
      </x:c>
      <x:c r="H42" s="36" t="n">
        <x:v>30</x:v>
      </x:c>
      <x:c r="I42" s="36" t="str">
        <x:v>Low</x:v>
      </x:c>
      <x:c r="J42" s="36" t="str">
        <x:v>No</x:v>
      </x:c>
      <x:c r="K42" s="36" t="str">
        <x:v>Alternative retained for comparison.</x:v>
      </x:c>
    </x:row>
    <x:row r="43">
      <x:c r="A43" s="36" t="str">
        <x:v>OPT-MIC-010-3</x:v>
      </x:c>
      <x:c r="B43" s="36" t="str">
        <x:v>RISK-MST-010</x:v>
      </x:c>
      <x:c r="C43" s="36" t="str">
        <x:v>Avoid</x:v>
      </x:c>
      <x:c r="D43" s="36" t="str">
        <x:v>Avoid option for backup vault immutability disabled.</x:v>
      </x:c>
      <x:c r="E43" s="42" t="n">
        <x:v>264000</x:v>
      </x:c>
      <x:c r="F43" s="42" t="n">
        <x:v>32900</x:v>
      </x:c>
      <x:c r="G43" s="36" t="n">
        <x:v>10</x:v>
      </x:c>
      <x:c r="H43" s="36" t="n">
        <x:v>120</x:v>
      </x:c>
      <x:c r="I43" s="36" t="str">
        <x:v>High</x:v>
      </x:c>
      <x:c r="J43" s="36" t="str">
        <x:v>No</x:v>
      </x:c>
      <x:c r="K43" s="36" t="str">
        <x:v>Alternative retained for comparison.</x:v>
      </x:c>
    </x:row>
    <x:row r="44">
      <x:c r="A44" s="36" t="str">
        <x:v>OPT-MIC-010-4</x:v>
      </x:c>
      <x:c r="B44" s="36" t="str">
        <x:v>RISK-MST-010</x:v>
      </x:c>
      <x:c r="C44" s="36" t="str">
        <x:v>Accept</x:v>
      </x:c>
      <x:c r="D44" s="36" t="str">
        <x:v>Accept option for backup vault immutability disabled.</x:v>
      </x:c>
      <x:c r="E44" s="42" t="n">
        <x:v>6000</x:v>
      </x:c>
      <x:c r="F44" s="42" t="n">
        <x:v>4700</x:v>
      </x:c>
      <x:c r="G44" s="36" t="n">
        <x:v>0</x:v>
      </x:c>
      <x:c r="H44" s="36" t="n">
        <x:v>7</x:v>
      </x:c>
      <x:c r="I44" s="36" t="str">
        <x:v>Low</x:v>
      </x:c>
      <x:c r="J44" s="36" t="str">
        <x:v>No</x:v>
      </x:c>
      <x:c r="K44" s="36" t="str">
        <x:v>Alternative retained for comparison.</x:v>
      </x:c>
    </x:row>
    <x:row r="45">
      <x:c r="A45" s="36" t="str">
        <x:v>OPT-MIC-011-1</x:v>
      </x:c>
      <x:c r="B45" s="36" t="str">
        <x:v>RISK-MST-011</x:v>
      </x:c>
      <x:c r="C45" s="36" t="str">
        <x:v>Mitigate</x:v>
      </x:c>
      <x:c r="D45" s="36" t="str">
        <x:v>Mitigate option for transport rule misconfiguration.</x:v>
      </x:c>
      <x:c r="E45" s="42" t="n">
        <x:v>129000</x:v>
      </x:c>
      <x:c r="F45" s="42" t="n">
        <x:v>50500</x:v>
      </x:c>
      <x:c r="G45" s="36" t="n">
        <x:v>7</x:v>
      </x:c>
      <x:c r="H45" s="36" t="n">
        <x:v>60</x:v>
      </x:c>
      <x:c r="I45" s="36" t="str">
        <x:v>Medium</x:v>
      </x:c>
      <x:c r="J45" s="36" t="str">
        <x:v>Yes</x:v>
      </x:c>
      <x:c r="K45" s="36" t="str">
        <x:v>Selected based on synthetic cost, feasibility, and residual risk.</x:v>
      </x:c>
    </x:row>
    <x:row r="46">
      <x:c r="A46" s="36" t="str">
        <x:v>OPT-MIC-011-2</x:v>
      </x:c>
      <x:c r="B46" s="36" t="str">
        <x:v>RISK-MST-011</x:v>
      </x:c>
      <x:c r="C46" s="36" t="str">
        <x:v>Transfer</x:v>
      </x:c>
      <x:c r="D46" s="36" t="str">
        <x:v>Transfer option for transport rule misconfiguration.</x:v>
      </x:c>
      <x:c r="E46" s="42" t="n">
        <x:v>64500</x:v>
      </x:c>
      <x:c r="F46" s="42" t="n">
        <x:v>70700</x:v>
      </x:c>
      <x:c r="G46" s="36" t="n">
        <x:v>4</x:v>
      </x:c>
      <x:c r="H46" s="36" t="n">
        <x:v>30</x:v>
      </x:c>
      <x:c r="I46" s="36" t="str">
        <x:v>Low</x:v>
      </x:c>
      <x:c r="J46" s="36" t="str">
        <x:v>No</x:v>
      </x:c>
      <x:c r="K46" s="36" t="str">
        <x:v>Alternative retained for comparison.</x:v>
      </x:c>
    </x:row>
    <x:row r="47">
      <x:c r="A47" s="36" t="str">
        <x:v>OPT-MIC-011-3</x:v>
      </x:c>
      <x:c r="B47" s="36" t="str">
        <x:v>RISK-MST-011</x:v>
      </x:c>
      <x:c r="C47" s="36" t="str">
        <x:v>Avoid</x:v>
      </x:c>
      <x:c r="D47" s="36" t="str">
        <x:v>Avoid option for transport rule misconfiguration.</x:v>
      </x:c>
      <x:c r="E47" s="42" t="n">
        <x:v>283800</x:v>
      </x:c>
      <x:c r="F47" s="42" t="n">
        <x:v>35350</x:v>
      </x:c>
      <x:c r="G47" s="36" t="n">
        <x:v>10</x:v>
      </x:c>
      <x:c r="H47" s="36" t="n">
        <x:v>120</x:v>
      </x:c>
      <x:c r="I47" s="36" t="str">
        <x:v>High</x:v>
      </x:c>
      <x:c r="J47" s="36" t="str">
        <x:v>No</x:v>
      </x:c>
      <x:c r="K47" s="36" t="str">
        <x:v>Alternative retained for comparison.</x:v>
      </x:c>
    </x:row>
    <x:row r="48">
      <x:c r="A48" s="36" t="str">
        <x:v>OPT-MIC-011-4</x:v>
      </x:c>
      <x:c r="B48" s="36" t="str">
        <x:v>RISK-MST-011</x:v>
      </x:c>
      <x:c r="C48" s="36" t="str">
        <x:v>Accept</x:v>
      </x:c>
      <x:c r="D48" s="36" t="str">
        <x:v>Accept option for transport rule misconfiguration.</x:v>
      </x:c>
      <x:c r="E48" s="42" t="n">
        <x:v>6450</x:v>
      </x:c>
      <x:c r="F48" s="42" t="n">
        <x:v>5050</x:v>
      </x:c>
      <x:c r="G48" s="36" t="n">
        <x:v>0</x:v>
      </x:c>
      <x:c r="H48" s="36" t="n">
        <x:v>7</x:v>
      </x:c>
      <x:c r="I48" s="36" t="str">
        <x:v>Low</x:v>
      </x:c>
      <x:c r="J48" s="36" t="str">
        <x:v>No</x:v>
      </x:c>
      <x:c r="K48" s="36" t="str">
        <x:v>Alternative retained for comparison.</x:v>
      </x:c>
    </x:row>
    <x:row r="49">
      <x:c r="A49" s="36" t="str">
        <x:v>OPT-MIC-012-1</x:v>
      </x:c>
      <x:c r="B49" s="36" t="str">
        <x:v>RISK-MST-012</x:v>
      </x:c>
      <x:c r="C49" s="36" t="str">
        <x:v>Mitigate</x:v>
      </x:c>
      <x:c r="D49" s="36" t="str">
        <x:v>Mitigate option for cloud policy exception accumulation.</x:v>
      </x:c>
      <x:c r="E49" s="42" t="n">
        <x:v>138000</x:v>
      </x:c>
      <x:c r="F49" s="42" t="n">
        <x:v>54000</x:v>
      </x:c>
      <x:c r="G49" s="36" t="n">
        <x:v>7</x:v>
      </x:c>
      <x:c r="H49" s="36" t="n">
        <x:v>60</x:v>
      </x:c>
      <x:c r="I49" s="36" t="str">
        <x:v>Medium</x:v>
      </x:c>
      <x:c r="J49" s="36" t="str">
        <x:v>Yes</x:v>
      </x:c>
      <x:c r="K49" s="36" t="str">
        <x:v>Selected based on synthetic cost, feasibility, and residual risk.</x:v>
      </x:c>
    </x:row>
    <x:row r="50">
      <x:c r="A50" s="36" t="str">
        <x:v>OPT-MIC-012-2</x:v>
      </x:c>
      <x:c r="B50" s="36" t="str">
        <x:v>RISK-MST-012</x:v>
      </x:c>
      <x:c r="C50" s="36" t="str">
        <x:v>Transfer</x:v>
      </x:c>
      <x:c r="D50" s="36" t="str">
        <x:v>Transfer option for cloud policy exception accumulation.</x:v>
      </x:c>
      <x:c r="E50" s="42" t="n">
        <x:v>69000</x:v>
      </x:c>
      <x:c r="F50" s="42" t="n">
        <x:v>75600</x:v>
      </x:c>
      <x:c r="G50" s="36" t="n">
        <x:v>4</x:v>
      </x:c>
      <x:c r="H50" s="36" t="n">
        <x:v>30</x:v>
      </x:c>
      <x:c r="I50" s="36" t="str">
        <x:v>Low</x:v>
      </x:c>
      <x:c r="J50" s="36" t="str">
        <x:v>No</x:v>
      </x:c>
      <x:c r="K50" s="36" t="str">
        <x:v>Alternative retained for comparison.</x:v>
      </x:c>
    </x:row>
    <x:row r="51">
      <x:c r="A51" s="36" t="str">
        <x:v>OPT-MIC-012-3</x:v>
      </x:c>
      <x:c r="B51" s="36" t="str">
        <x:v>RISK-MST-012</x:v>
      </x:c>
      <x:c r="C51" s="36" t="str">
        <x:v>Avoid</x:v>
      </x:c>
      <x:c r="D51" s="36" t="str">
        <x:v>Avoid option for cloud policy exception accumulation.</x:v>
      </x:c>
      <x:c r="E51" s="42" t="n">
        <x:v>303600</x:v>
      </x:c>
      <x:c r="F51" s="42" t="n">
        <x:v>37800</x:v>
      </x:c>
      <x:c r="G51" s="36" t="n">
        <x:v>10</x:v>
      </x:c>
      <x:c r="H51" s="36" t="n">
        <x:v>120</x:v>
      </x:c>
      <x:c r="I51" s="36" t="str">
        <x:v>High</x:v>
      </x:c>
      <x:c r="J51" s="36" t="str">
        <x:v>No</x:v>
      </x:c>
      <x:c r="K51" s="36" t="str">
        <x:v>Alternative retained for comparison.</x:v>
      </x:c>
    </x:row>
    <x:row r="52">
      <x:c r="A52" s="36" t="str">
        <x:v>OPT-MIC-012-4</x:v>
      </x:c>
      <x:c r="B52" s="36" t="str">
        <x:v>RISK-MST-012</x:v>
      </x:c>
      <x:c r="C52" s="36" t="str">
        <x:v>Accept</x:v>
      </x:c>
      <x:c r="D52" s="36" t="str">
        <x:v>Accept option for cloud policy exception accumulation.</x:v>
      </x:c>
      <x:c r="E52" s="42" t="n">
        <x:v>6900</x:v>
      </x:c>
      <x:c r="F52" s="42" t="n">
        <x:v>5400</x:v>
      </x:c>
      <x:c r="G52" s="36" t="n">
        <x:v>0</x:v>
      </x:c>
      <x:c r="H52" s="36" t="n">
        <x:v>7</x:v>
      </x:c>
      <x:c r="I52" s="36" t="str">
        <x:v>Low</x:v>
      </x:c>
      <x:c r="J52" s="36" t="str">
        <x:v>No</x:v>
      </x:c>
      <x:c r="K52" s="36" t="str">
        <x:v>Alternative retained for comparison.</x:v>
      </x:c>
    </x:row>
  </x:sheetData>
  <x:mergeCells>
    <x:mergeCell ref="A1:K1"/>
    <x:mergeCell ref="A2:K2"/>
  </x:mergeCells>
  <x:conditionalFormatting sqref="A5:K52">
    <x:cfRule type="expression" dxfId="18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27d1bafbeb7408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36" hidden="0" customWidth="1"/>
    <x:col min="6" max="6" width="46" hidden="0" customWidth="1"/>
    <x:col min="7" max="7" width="16" hidden="0" customWidth="1"/>
    <x:col min="8" max="8" width="16" hidden="0" customWidth="1"/>
    <x:col min="9" max="9" width="18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4" customHeight="1">
      <x:c r="A1" s="5" t="str">
        <x:v>Microsoft Evidence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6" customHeight="1">
      <x:c r="A2" s="12" t="str">
        <x:v>Synthetic evidence metadata linked to risk records. No actual confidential evidence is included.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 ht="34" customHeight="1">
      <x:c r="A4" s="28" t="str">
        <x:v>Evidence ID</x:v>
      </x:c>
      <x:c r="B4" s="28" t="str">
        <x:v>Related Module</x:v>
      </x:c>
      <x:c r="C4" s="28" t="str">
        <x:v>Related Record ID</x:v>
      </x:c>
      <x:c r="D4" s="28" t="str">
        <x:v>Evidence Type</x:v>
      </x:c>
      <x:c r="E4" s="28" t="str">
        <x:v>File Name / Reference</x:v>
      </x:c>
      <x:c r="F4" s="28" t="str">
        <x:v>Evidence Description</x:v>
      </x:c>
      <x:c r="G4" s="28" t="str">
        <x:v>Evidence Owner</x:v>
      </x:c>
      <x:c r="H4" s="28" t="str">
        <x:v>Collection Date</x:v>
      </x:c>
      <x:c r="I4" s="28" t="str">
        <x:v>Review Status</x:v>
      </x:c>
      <x:c r="J4" s="28" t="str">
        <x:v>Reviewed By</x:v>
      </x:c>
      <x:c r="K4" s="28" t="str">
        <x:v>Retention Date</x:v>
      </x:c>
      <x:c r="L4" s="28" t="str">
        <x:v>Information Classification</x:v>
      </x:c>
    </x:row>
    <x:row r="5">
      <x:c r="A5" s="36" t="str">
        <x:v>EVD-MIC-001</x:v>
      </x:c>
      <x:c r="B5" s="36" t="str">
        <x:v>Risk</x:v>
      </x:c>
      <x:c r="C5" s="36" t="str">
        <x:v>RISK-MST-001</x:v>
      </x:c>
      <x:c r="D5" s="36" t="str">
        <x:v>Audit Report</x:v>
      </x:c>
      <x:c r="E5" s="36" t="str">
        <x:v>synthetic_risk-mst-001_evidence.pdf</x:v>
      </x:c>
      <x:c r="F5" s="36" t="str">
        <x:v>Synthetic evidence metadata only; no real file is included.</x:v>
      </x:c>
      <x:c r="G5" s="36" t="str">
        <x:v>Lama</x:v>
      </x:c>
      <x:c r="H5" s="40" t="n">
        <x:v>46205</x:v>
      </x:c>
      <x:c r="I5" s="36" t="str">
        <x:v>Accepted</x:v>
      </x:c>
      <x:c r="J5" s="36" t="str">
        <x:v>Mariam</x:v>
      </x:c>
      <x:c r="K5" s="40" t="n">
        <x:v>47483</x:v>
      </x:c>
      <x:c r="L5" s="36" t="str">
        <x:v>Internal</x:v>
      </x:c>
    </x:row>
    <x:row r="6">
      <x:c r="A6" s="36" t="str">
        <x:v>EVD-MIC-002</x:v>
      </x:c>
      <x:c r="B6" s="36" t="str">
        <x:v>Risk</x:v>
      </x:c>
      <x:c r="C6" s="36" t="str">
        <x:v>RISK-MST-002</x:v>
      </x:c>
      <x:c r="D6" s="36" t="str">
        <x:v>Screenshot</x:v>
      </x:c>
      <x:c r="E6" s="36" t="str">
        <x:v>synthetic_risk-mst-002_evidence.pdf</x:v>
      </x:c>
      <x:c r="F6" s="36" t="str">
        <x:v>Synthetic evidence metadata only; no real file is included.</x:v>
      </x:c>
      <x:c r="G6" s="36" t="str">
        <x:v>Yousef</x:v>
      </x:c>
      <x:c r="H6" s="40" t="n">
        <x:v>46206</x:v>
      </x:c>
      <x:c r="I6" s="36" t="str">
        <x:v>Needs Update</x:v>
      </x:c>
      <x:c r="J6" s="36" t="str">
        <x:v>Noura</x:v>
      </x:c>
      <x:c r="K6" s="40" t="n">
        <x:v>47483</x:v>
      </x:c>
      <x:c r="L6" s="36" t="str">
        <x:v>Internal</x:v>
      </x:c>
    </x:row>
    <x:row r="7">
      <x:c r="A7" s="36" t="str">
        <x:v>EVD-MIC-003</x:v>
      </x:c>
      <x:c r="B7" s="36" t="str">
        <x:v>Risk</x:v>
      </x:c>
      <x:c r="C7" s="36" t="str">
        <x:v>RISK-MST-003</x:v>
      </x:c>
      <x:c r="D7" s="36" t="str">
        <x:v>Log Query</x:v>
      </x:c>
      <x:c r="E7" s="36" t="str">
        <x:v>synthetic_risk-mst-003_evidence.pdf</x:v>
      </x:c>
      <x:c r="F7" s="36" t="str">
        <x:v>Synthetic evidence metadata only; no real file is included.</x:v>
      </x:c>
      <x:c r="G7" s="36" t="str">
        <x:v>Rasha</x:v>
      </x:c>
      <x:c r="H7" s="40" t="n">
        <x:v>46207</x:v>
      </x:c>
      <x:c r="I7" s="36" t="str">
        <x:v>Pending Review</x:v>
      </x:c>
      <x:c r="J7" s="36" t="str">
        <x:v>Fahad</x:v>
      </x:c>
      <x:c r="K7" s="40" t="n">
        <x:v>47483</x:v>
      </x:c>
      <x:c r="L7" s="36" t="str">
        <x:v>Internal</x:v>
      </x:c>
    </x:row>
    <x:row r="8">
      <x:c r="A8" s="36" t="str">
        <x:v>EVD-MIC-004</x:v>
      </x:c>
      <x:c r="B8" s="36" t="str">
        <x:v>Risk</x:v>
      </x:c>
      <x:c r="C8" s="36" t="str">
        <x:v>RISK-MST-004</x:v>
      </x:c>
      <x:c r="D8" s="36" t="str">
        <x:v>Approval Record</x:v>
      </x:c>
      <x:c r="E8" s="36" t="str">
        <x:v>synthetic_risk-mst-004_evidence.pdf</x:v>
      </x:c>
      <x:c r="F8" s="36" t="str">
        <x:v>Synthetic evidence metadata only; no real file is included.</x:v>
      </x:c>
      <x:c r="G8" s="36" t="str">
        <x:v>Faisal</x:v>
      </x:c>
      <x:c r="H8" s="40" t="n">
        <x:v>46208</x:v>
      </x:c>
      <x:c r="I8" s="36" t="str">
        <x:v>Accepted</x:v>
      </x:c>
      <x:c r="J8" s="36" t="str">
        <x:v>Reem</x:v>
      </x:c>
      <x:c r="K8" s="40" t="n">
        <x:v>47483</x:v>
      </x:c>
      <x:c r="L8" s="36" t="str">
        <x:v>Internal</x:v>
      </x:c>
    </x:row>
    <x:row r="9">
      <x:c r="A9" s="36" t="str">
        <x:v>EVD-MIC-005</x:v>
      </x:c>
      <x:c r="B9" s="36" t="str">
        <x:v>Risk</x:v>
      </x:c>
      <x:c r="C9" s="36" t="str">
        <x:v>RISK-MST-005</x:v>
      </x:c>
      <x:c r="D9" s="36" t="str">
        <x:v>Configuration Export</x:v>
      </x:c>
      <x:c r="E9" s="36" t="str">
        <x:v>synthetic_risk-mst-005_evidence.pdf</x:v>
      </x:c>
      <x:c r="F9" s="36" t="str">
        <x:v>Synthetic evidence metadata only; no real file is included.</x:v>
      </x:c>
      <x:c r="G9" s="36" t="str">
        <x:v>Mona</x:v>
      </x:c>
      <x:c r="H9" s="40" t="n">
        <x:v>46209</x:v>
      </x:c>
      <x:c r="I9" s="36" t="str">
        <x:v>Needs Update</x:v>
      </x:c>
      <x:c r="J9" s="36" t="str">
        <x:v>Khalid</x:v>
      </x:c>
      <x:c r="K9" s="40" t="n">
        <x:v>47483</x:v>
      </x:c>
      <x:c r="L9" s="36" t="str">
        <x:v>Internal</x:v>
      </x:c>
    </x:row>
    <x:row r="10">
      <x:c r="A10" s="36" t="str">
        <x:v>EVD-MIC-006</x:v>
      </x:c>
      <x:c r="B10" s="36" t="str">
        <x:v>Risk</x:v>
      </x:c>
      <x:c r="C10" s="36" t="str">
        <x:v>RISK-MST-006</x:v>
      </x:c>
      <x:c r="D10" s="36" t="str">
        <x:v>Audit Report</x:v>
      </x:c>
      <x:c r="E10" s="36" t="str">
        <x:v>synthetic_risk-mst-006_evidence.pdf</x:v>
      </x:c>
      <x:c r="F10" s="36" t="str">
        <x:v>Synthetic evidence metadata only; no real file is included.</x:v>
      </x:c>
      <x:c r="G10" s="36" t="str">
        <x:v>Adel</x:v>
      </x:c>
      <x:c r="H10" s="40" t="n">
        <x:v>46210</x:v>
      </x:c>
      <x:c r="I10" s="36" t="str">
        <x:v>Pending Review</x:v>
      </x:c>
      <x:c r="J10" s="36" t="str">
        <x:v>Lina</x:v>
      </x:c>
      <x:c r="K10" s="40" t="n">
        <x:v>47483</x:v>
      </x:c>
      <x:c r="L10" s="36" t="str">
        <x:v>Internal</x:v>
      </x:c>
    </x:row>
    <x:row r="11">
      <x:c r="A11" s="36" t="str">
        <x:v>EVD-MIC-007</x:v>
      </x:c>
      <x:c r="B11" s="36" t="str">
        <x:v>Risk</x:v>
      </x:c>
      <x:c r="C11" s="36" t="str">
        <x:v>RISK-MST-007</x:v>
      </x:c>
      <x:c r="D11" s="36" t="str">
        <x:v>Screenshot</x:v>
      </x:c>
      <x:c r="E11" s="36" t="str">
        <x:v>synthetic_risk-mst-007_evidence.pdf</x:v>
      </x:c>
      <x:c r="F11" s="36" t="str">
        <x:v>Synthetic evidence metadata only; no real file is included.</x:v>
      </x:c>
      <x:c r="G11" s="36" t="str">
        <x:v>Hanan</x:v>
      </x:c>
      <x:c r="H11" s="40" t="n">
        <x:v>46211</x:v>
      </x:c>
      <x:c r="I11" s="36" t="str">
        <x:v>Accepted</x:v>
      </x:c>
      <x:c r="J11" s="36" t="str">
        <x:v>Omar</x:v>
      </x:c>
      <x:c r="K11" s="40" t="n">
        <x:v>47483</x:v>
      </x:c>
      <x:c r="L11" s="36" t="str">
        <x:v>Internal</x:v>
      </x:c>
    </x:row>
    <x:row r="12">
      <x:c r="A12" s="36" t="str">
        <x:v>EVD-MIC-008</x:v>
      </x:c>
      <x:c r="B12" s="36" t="str">
        <x:v>Risk</x:v>
      </x:c>
      <x:c r="C12" s="36" t="str">
        <x:v>RISK-MST-008</x:v>
      </x:c>
      <x:c r="D12" s="36" t="str">
        <x:v>Log Query</x:v>
      </x:c>
      <x:c r="E12" s="36" t="str">
        <x:v>synthetic_risk-mst-008_evidence.pdf</x:v>
      </x:c>
      <x:c r="F12" s="36" t="str">
        <x:v>Synthetic evidence metadata only; no real file is included.</x:v>
      </x:c>
      <x:c r="G12" s="36" t="str">
        <x:v>Saud</x:v>
      </x:c>
      <x:c r="H12" s="40" t="n">
        <x:v>46212</x:v>
      </x:c>
      <x:c r="I12" s="36" t="str">
        <x:v>Needs Update</x:v>
      </x:c>
      <x:c r="J12" s="36" t="str">
        <x:v>Huda</x:v>
      </x:c>
      <x:c r="K12" s="40" t="n">
        <x:v>47483</x:v>
      </x:c>
      <x:c r="L12" s="36" t="str">
        <x:v>Internal</x:v>
      </x:c>
    </x:row>
    <x:row r="13">
      <x:c r="A13" s="36" t="str">
        <x:v>EVD-MIC-009</x:v>
      </x:c>
      <x:c r="B13" s="36" t="str">
        <x:v>Risk</x:v>
      </x:c>
      <x:c r="C13" s="36" t="str">
        <x:v>RISK-MST-009</x:v>
      </x:c>
      <x:c r="D13" s="36" t="str">
        <x:v>Approval Record</x:v>
      </x:c>
      <x:c r="E13" s="36" t="str">
        <x:v>synthetic_risk-mst-009_evidence.pdf</x:v>
      </x:c>
      <x:c r="F13" s="36" t="str">
        <x:v>Synthetic evidence metadata only; no real file is included.</x:v>
      </x:c>
      <x:c r="G13" s="36" t="str">
        <x:v>Nadia</x:v>
      </x:c>
      <x:c r="H13" s="40" t="n">
        <x:v>46213</x:v>
      </x:c>
      <x:c r="I13" s="36" t="str">
        <x:v>Pending Review</x:v>
      </x:c>
      <x:c r="J13" s="36" t="str">
        <x:v>Majed</x:v>
      </x:c>
      <x:c r="K13" s="40" t="n">
        <x:v>47483</x:v>
      </x:c>
      <x:c r="L13" s="36" t="str">
        <x:v>Internal</x:v>
      </x:c>
    </x:row>
    <x:row r="14">
      <x:c r="A14" s="36" t="str">
        <x:v>EVD-MIC-010</x:v>
      </x:c>
      <x:c r="B14" s="36" t="str">
        <x:v>Risk</x:v>
      </x:c>
      <x:c r="C14" s="36" t="str">
        <x:v>RISK-MST-010</x:v>
      </x:c>
      <x:c r="D14" s="36" t="str">
        <x:v>Configuration Export</x:v>
      </x:c>
      <x:c r="E14" s="36" t="str">
        <x:v>synthetic_risk-mst-010_evidence.pdf</x:v>
      </x:c>
      <x:c r="F14" s="36" t="str">
        <x:v>Synthetic evidence metadata only; no real file is included.</x:v>
      </x:c>
      <x:c r="G14" s="36" t="str">
        <x:v>Kareem</x:v>
      </x:c>
      <x:c r="H14" s="40" t="n">
        <x:v>46214</x:v>
      </x:c>
      <x:c r="I14" s="36" t="str">
        <x:v>Accepted</x:v>
      </x:c>
      <x:c r="J14" s="36" t="str">
        <x:v>Mohammed</x:v>
      </x:c>
      <x:c r="K14" s="40" t="n">
        <x:v>47483</x:v>
      </x:c>
      <x:c r="L14" s="36" t="str">
        <x:v>Internal</x:v>
      </x:c>
    </x:row>
    <x:row r="15">
      <x:c r="A15" s="36" t="str">
        <x:v>EVD-MIC-011</x:v>
      </x:c>
      <x:c r="B15" s="36" t="str">
        <x:v>Risk</x:v>
      </x:c>
      <x:c r="C15" s="36" t="str">
        <x:v>RISK-MST-011</x:v>
      </x:c>
      <x:c r="D15" s="36" t="str">
        <x:v>Audit Report</x:v>
      </x:c>
      <x:c r="E15" s="36" t="str">
        <x:v>synthetic_risk-mst-011_evidence.pdf</x:v>
      </x:c>
      <x:c r="F15" s="36" t="str">
        <x:v>Synthetic evidence metadata only; no real file is included.</x:v>
      </x:c>
      <x:c r="G15" s="36" t="str">
        <x:v>Aseel</x:v>
      </x:c>
      <x:c r="H15" s="40" t="n">
        <x:v>46215</x:v>
      </x:c>
      <x:c r="I15" s="36" t="str">
        <x:v>Needs Update</x:v>
      </x:c>
      <x:c r="J15" s="36" t="str">
        <x:v>Sara</x:v>
      </x:c>
      <x:c r="K15" s="40" t="n">
        <x:v>47483</x:v>
      </x:c>
      <x:c r="L15" s="36" t="str">
        <x:v>Internal</x:v>
      </x:c>
    </x:row>
    <x:row r="16">
      <x:c r="A16" s="36" t="str">
        <x:v>EVD-MIC-012</x:v>
      </x:c>
      <x:c r="B16" s="36" t="str">
        <x:v>Risk</x:v>
      </x:c>
      <x:c r="C16" s="36" t="str">
        <x:v>RISK-MST-012</x:v>
      </x:c>
      <x:c r="D16" s="36" t="str">
        <x:v>Screenshot</x:v>
      </x:c>
      <x:c r="E16" s="36" t="str">
        <x:v>synthetic_risk-mst-012_evidence.pdf</x:v>
      </x:c>
      <x:c r="F16" s="36" t="str">
        <x:v>Synthetic evidence metadata only; no real file is included.</x:v>
      </x:c>
      <x:c r="G16" s="36" t="str">
        <x:v>Walid</x:v>
      </x:c>
      <x:c r="H16" s="40" t="n">
        <x:v>46216</x:v>
      </x:c>
      <x:c r="I16" s="36" t="str">
        <x:v>Pending Review</x:v>
      </x:c>
      <x:c r="J16" s="36" t="str">
        <x:v>Ahmed</x:v>
      </x:c>
      <x:c r="K16" s="40" t="n">
        <x:v>47483</x:v>
      </x:c>
      <x:c r="L16" s="36" t="str">
        <x:v>Internal</x:v>
      </x:c>
    </x:row>
  </x:sheetData>
  <x:mergeCells>
    <x:mergeCell ref="A1:L1"/>
    <x:mergeCell ref="A2:L2"/>
  </x:mergeCells>
  <x:conditionalFormatting sqref="A5:L16">
    <x:cfRule type="expression" dxfId="19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f35ea409ba340d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4" max="4" width="18" hidden="0" customWidth="1"/>
    <x:col min="5" max="5" width="12" hidden="0" customWidth="1"/>
  </x:cols>
  <x:sheetData>
    <x:row r="1" ht="34" customHeight="1">
      <x:c r="A1" s="5" t="str">
        <x:v>Microsoft Risk Assessment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6" customHeight="1">
      <x:c r="A2" s="12" t="str">
        <x:v>Formula-driven summary of the synthetic risk register.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 ht="30" customHeight="1">
      <x:c r="A4" s="28" t="str">
        <x:v>Dashboard Metric</x:v>
      </x:c>
      <x:c r="B4" s="28" t="str">
        <x:v>Current Value</x:v>
      </x:c>
      <x:c r="D4" s="28" t="str">
        <x:v>Risk Level</x:v>
      </x:c>
      <x:c r="E4" s="28" t="str">
        <x:v>Count</x:v>
      </x:c>
    </x:row>
    <x:row r="5">
      <x:c r="A5" s="17" t="str">
        <x:v>Total Risk Records</x:v>
      </x:c>
      <x:c r="B5" s="48" t="n">
        <x:f>COUNTA('Risk Register'!A5:A16)</x:f>
        <x:v>12</x:v>
      </x:c>
      <x:c r="D5" t="str">
        <x:v>Critical</x:v>
      </x:c>
      <x:c r="E5" t="n">
        <x:f>COUNTIF('Risk Register'!K5:K16,"Critical")</x:f>
        <x:v>9</x:v>
      </x:c>
    </x:row>
    <x:row r="6">
      <x:c r="A6" s="17" t="str">
        <x:v>Critical Inherent Risks</x:v>
      </x:c>
      <x:c r="B6" s="48" t="n">
        <x:f>COUNTIF('Risk Register'!K5:K16,"Critical")</x:f>
        <x:v>9</x:v>
      </x:c>
      <x:c r="D6" t="str">
        <x:v>High</x:v>
      </x:c>
      <x:c r="E6" t="n">
        <x:f>COUNTIF('Risk Register'!K5:K16,"High")</x:f>
        <x:v>3</x:v>
      </x:c>
    </x:row>
    <x:row r="7">
      <x:c r="A7" s="17" t="str">
        <x:v>High Inherent Risks</x:v>
      </x:c>
      <x:c r="B7" s="48" t="n">
        <x:f>COUNTIF('Risk Register'!K5:K16,"High")</x:f>
        <x:v>3</x:v>
      </x:c>
      <x:c r="D7" t="str">
        <x:v>Medium</x:v>
      </x:c>
      <x:c r="E7" t="n">
        <x:f>COUNTIF('Risk Register'!K5:K16,"Medium")</x:f>
        <x:v>0</x:v>
      </x:c>
    </x:row>
    <x:row r="8">
      <x:c r="A8" s="17" t="str">
        <x:v>Active Risk Records</x:v>
      </x:c>
      <x:c r="B8" s="48" t="n">
        <x:f>COUNTIF('Risk Register'!T5:T16,"Open")+COUNTIF('Risk Register'!T5:T16,"In Progress")</x:f>
        <x:v>11</x:v>
      </x:c>
      <x:c r="D8" t="str">
        <x:v>Low</x:v>
      </x:c>
      <x:c r="E8" t="n">
        <x:f>COUNTIF('Risk Register'!K5:K16,"Low")</x:f>
        <x:v>0</x:v>
      </x:c>
    </x:row>
    <x:row r="9">
      <x:c r="A9" s="17" t="str">
        <x:v>Average Residual Risk Score</x:v>
      </x:c>
      <x:c r="B9" s="49" t="n">
        <x:f>AVERAGE('Risk Register'!R5:R16)</x:f>
        <x:v>5.333333333333333</x:v>
      </x:c>
    </x:row>
    <x:row r="11" ht="30" customHeight="1">
      <x:c r="D11" s="28" t="str">
        <x:v>Treatment Status</x:v>
      </x:c>
      <x:c r="E11" s="28" t="str">
        <x:v>Count</x:v>
      </x:c>
    </x:row>
    <x:row r="12">
      <x:c r="D12" t="str">
        <x:v>Open</x:v>
      </x:c>
      <x:c r="E12" t="n">
        <x:f>COUNTIF('Risk Register'!T5:T16,"Open")</x:f>
        <x:v>7</x:v>
      </x:c>
    </x:row>
    <x:row r="13">
      <x:c r="D13" t="str">
        <x:v>In Progress</x:v>
      </x:c>
      <x:c r="E13" t="n">
        <x:f>COUNTIF('Risk Register'!T5:T16,"In Progress")</x:f>
        <x:v>4</x:v>
      </x:c>
    </x:row>
    <x:row r="14">
      <x:c r="D14" t="str">
        <x:v>Pending Evidence</x:v>
      </x:c>
      <x:c r="E14" t="n">
        <x:f>COUNTIF('Risk Register'!T5:T16,"Pending Evidence")</x:f>
        <x:v>0</x:v>
      </x:c>
    </x:row>
    <x:row r="15">
      <x:c r="D15" t="str">
        <x:v>Pending Approval</x:v>
      </x:c>
      <x:c r="E15" t="n">
        <x:f>COUNTIF('Risk Register'!T5:T16,"Pending Approval")</x:f>
        <x:v>1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c99a3c740c984ad0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48" hidden="0" customWidth="1"/>
    <x:col min="4" max="4" width="48" hidden="0" customWidth="1"/>
    <x:col min="5" max="5" width="24" hidden="0" customWidth="1"/>
    <x:col min="6" max="6" width="44" hidden="0" customWidth="1"/>
  </x:cols>
  <x:sheetData>
    <x:row r="1" ht="34" customHeight="1">
      <x:c r="A1" s="5" t="str">
        <x:v>Microsoft Import Schema</x:v>
      </x:c>
      <x:c r="B1" s="5"/>
      <x:c r="C1" s="5"/>
      <x:c r="D1" s="5"/>
      <x:c r="E1" s="5"/>
      <x:c r="F1" s="5"/>
    </x:row>
    <x:row r="2" ht="26" customHeight="1">
      <x:c r="A2" s="12" t="str">
        <x:v>Column reference for Cursor and GRCx import mapping.</x:v>
      </x:c>
      <x:c r="B2" s="12"/>
      <x:c r="C2" s="12"/>
      <x:c r="D2" s="12"/>
      <x:c r="E2" s="12"/>
      <x:c r="F2" s="12"/>
    </x:row>
    <x:row r="4" ht="34" customHeight="1">
      <x:c r="A4" s="28" t="str">
        <x:v>Module</x:v>
      </x:c>
      <x:c r="B4" s="28" t="str">
        <x:v>Unique Record Key</x:v>
      </x:c>
      <x:c r="C4" s="28" t="str">
        <x:v>Required Import Columns</x:v>
      </x:c>
      <x:c r="D4" s="28" t="str">
        <x:v>Optional Import Columns</x:v>
      </x:c>
      <x:c r="E4" s="28" t="str">
        <x:v>Recommended Import Mode</x:v>
      </x:c>
      <x:c r="F4" s="28" t="str">
        <x:v>Validation / Processing Notes</x:v>
      </x:c>
    </x:row>
    <x:row r="5">
      <x:c r="A5" s="52" t="str">
        <x:v>Risk Register</x:v>
      </x:c>
      <x:c r="B5" s="52" t="str">
        <x:v>Risk ID</x:v>
      </x:c>
      <x:c r="C5" s="52" t="str">
        <x:v>Risk ID, Risk Title, Risk Category, Department, Risk Owner, Likelihood, Impact</x:v>
      </x:c>
      <x:c r="D5" s="52" t="str">
        <x:v>Affected Asset, Scenario, Strategy, Controls, Framework, Residual values, Status, Evidence</x:v>
      </x:c>
      <x:c r="E5" s="52" t="str">
        <x:v>Append and Update</x:v>
      </x:c>
      <x:c r="F5" s="52" t="str">
        <x:v>Never delete historical records automatically.</x:v>
      </x:c>
    </x:row>
    <x:row r="6">
      <x:c r="A6" s="52" t="str">
        <x:v>Risk Treatment Plans</x:v>
      </x:c>
      <x:c r="B6" s="52" t="str">
        <x:v>Treatment ID</x:v>
      </x:c>
      <x:c r="C6" s="52" t="str">
        <x:v>Treatment ID, Risk ID, Action, Owner, Due Date, Status</x:v>
      </x:c>
      <x:c r="D6" s="52" t="str">
        <x:v>Cost, Progress, Dependency, Evidence</x:v>
      </x:c>
      <x:c r="E6" s="52" t="str">
        <x:v>Append and Update</x:v>
      </x:c>
      <x:c r="F6" s="52" t="str">
        <x:v>Validate Risk ID relationship.</x:v>
      </x:c>
    </x:row>
    <x:row r="7">
      <x:c r="A7" s="52" t="str">
        <x:v>KRI Register</x:v>
      </x:c>
      <x:c r="B7" s="52" t="str">
        <x:v>KRI ID</x:v>
      </x:c>
      <x:c r="C7" s="52" t="str">
        <x:v>KRI ID, Risk ID, KRI Name, Department, Owner, Unit, thresholds</x:v>
      </x:c>
      <x:c r="D7" s="52" t="str">
        <x:v>Frequency, Data Source, Evidence, Notes</x:v>
      </x:c>
      <x:c r="E7" s="52" t="str">
        <x:v>Append and Update</x:v>
      </x:c>
      <x:c r="F7" s="52" t="str">
        <x:v>Threshold logic must be validated.</x:v>
      </x:c>
    </x:row>
    <x:row r="8">
      <x:c r="A8" s="52" t="str">
        <x:v>KRI Measurement History</x:v>
      </x:c>
      <x:c r="B8" s="52" t="str">
        <x:v>Measurement ID</x:v>
      </x:c>
      <x:c r="C8" s="52" t="str">
        <x:v>Measurement ID, KRI ID, Measurement Date, Value</x:v>
      </x:c>
      <x:c r="D8" s="52" t="str">
        <x:v>Period, Unit, Status, Evidence, Notes</x:v>
      </x:c>
      <x:c r="E8" s="52" t="str">
        <x:v>Append New Records</x:v>
      </x:c>
      <x:c r="F8" s="52" t="str">
        <x:v>Do not overwrite previous measurement periods.</x:v>
      </x:c>
    </x:row>
    <x:row r="9">
      <x:c r="A9" s="52" t="str">
        <x:v>Control Register</x:v>
      </x:c>
      <x:c r="B9" s="52" t="str">
        <x:v>Control ID</x:v>
      </x:c>
      <x:c r="C9" s="52" t="str">
        <x:v>Control ID, Control Name, Framework, Owner, Status</x:v>
      </x:c>
      <x:c r="D9" s="52" t="str">
        <x:v>Effectiveness, Test dates, Evidence, Related Risks</x:v>
      </x:c>
      <x:c r="E9" s="52" t="str">
        <x:v>Append and Update</x:v>
      </x:c>
      <x:c r="F9" s="52" t="str">
        <x:v>Control IDs may map to several risks.</x:v>
      </x:c>
    </x:row>
    <x:row r="10">
      <x:c r="A10" s="52" t="str">
        <x:v>Evidence Register</x:v>
      </x:c>
      <x:c r="B10" s="52" t="str">
        <x:v>Evidence ID</x:v>
      </x:c>
      <x:c r="C10" s="52" t="str">
        <x:v>Evidence ID, Related Record Type, Related Record ID, Evidence Type</x:v>
      </x:c>
      <x:c r="D10" s="52" t="str">
        <x:v>Reference, Description, Owner, Dates, Status</x:v>
      </x:c>
      <x:c r="E10" s="52" t="str">
        <x:v>Append New Records</x:v>
      </x:c>
      <x:c r="F10" s="52" t="str">
        <x:v>Metadata only; files require secure upload.</x:v>
      </x:c>
    </x:row>
  </x:sheetData>
  <x:mergeCells>
    <x:mergeCell ref="A1:F1"/>
    <x:mergeCell ref="A2:F2"/>
  </x:mergeCells>
  <x:pageMargins left="0.7" right="0.7" top="0.75" bottom="0.75" header="0.3" footer="0.3"/>
</x:worksheet>
</file>